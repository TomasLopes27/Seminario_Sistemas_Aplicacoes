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22AFAD0D-D87D-48CB-9F88-D4E374DD9C6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asolinas" sheetId="1" r:id="rId1"/>
    <sheet name="Gasóleo Rodoviário" sheetId="2" r:id="rId2"/>
    <sheet name="Gasóleos Col. e Marcado" sheetId="3" r:id="rId3"/>
    <sheet name="Gasóleo Aquec." sheetId="4" r:id="rId4"/>
    <sheet name="GPL Auto" sheetId="5" r:id="rId5"/>
    <sheet name="Propano_Butano" sheetId="7" r:id="rId6"/>
  </sheets>
  <definedNames>
    <definedName name="_xlnm._FilterDatabase" localSheetId="0" hidden="1">Gasolinas!#REF!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2" i="2" l="1"/>
  <c r="I121" i="1"/>
  <c r="I121" i="2"/>
  <c r="I120" i="1"/>
  <c r="I118" i="2"/>
  <c r="I119" i="2"/>
  <c r="I119" i="1"/>
  <c r="I120" i="2"/>
  <c r="I118" i="1"/>
  <c r="I117" i="1"/>
  <c r="I117" i="2"/>
  <c r="I116" i="1"/>
  <c r="I116" i="2"/>
  <c r="I115" i="1"/>
  <c r="I115" i="2"/>
  <c r="I114" i="1"/>
  <c r="I114" i="2"/>
  <c r="I113" i="1"/>
  <c r="I113" i="2"/>
  <c r="I112" i="1"/>
  <c r="I112" i="2"/>
  <c r="I111" i="1"/>
  <c r="I110" i="2"/>
  <c r="I111" i="2"/>
  <c r="I109" i="1"/>
  <c r="I110" i="1"/>
  <c r="I109" i="2"/>
  <c r="I108" i="1"/>
  <c r="I108" i="2"/>
  <c r="I107" i="1"/>
  <c r="I107" i="2"/>
  <c r="I106" i="1"/>
  <c r="I106" i="2"/>
  <c r="I105" i="1"/>
  <c r="I96" i="2"/>
  <c r="I97" i="2"/>
  <c r="I98" i="2"/>
  <c r="I99" i="2"/>
  <c r="I100" i="2"/>
  <c r="I101" i="2"/>
  <c r="I102" i="2"/>
  <c r="I103" i="2"/>
  <c r="I104" i="2"/>
  <c r="I105" i="2"/>
  <c r="I95" i="2"/>
  <c r="I97" i="1"/>
  <c r="I98" i="1"/>
  <c r="I99" i="1"/>
  <c r="I100" i="1"/>
  <c r="I101" i="1"/>
  <c r="I102" i="1"/>
  <c r="I103" i="1"/>
  <c r="I104" i="1"/>
  <c r="I96" i="1"/>
  <c r="I95" i="1"/>
  <c r="I94" i="1"/>
  <c r="H76" i="5"/>
  <c r="H72" i="4"/>
  <c r="H71" i="3"/>
  <c r="F69" i="7"/>
  <c r="I69" i="7" l="1"/>
  <c r="I76" i="5"/>
  <c r="I78" i="5" s="1"/>
  <c r="F72" i="4"/>
  <c r="I72" i="4"/>
  <c r="F71" i="3"/>
  <c r="I71" i="3" s="1"/>
  <c r="F68" i="7" l="1"/>
  <c r="H68" i="7"/>
  <c r="H75" i="5"/>
  <c r="H71" i="4"/>
  <c r="F71" i="4"/>
  <c r="I71" i="4" s="1"/>
  <c r="F70" i="3"/>
  <c r="H70" i="3"/>
  <c r="I68" i="7" l="1"/>
  <c r="I75" i="5"/>
  <c r="I70" i="3"/>
  <c r="H66" i="5" l="1"/>
  <c r="G66" i="5"/>
  <c r="F66" i="5"/>
  <c r="I66" i="5" l="1"/>
  <c r="F67" i="7" l="1"/>
  <c r="H67" i="7"/>
  <c r="H74" i="5"/>
  <c r="F70" i="4"/>
  <c r="H70" i="4"/>
  <c r="I70" i="4" s="1"/>
  <c r="F69" i="3"/>
  <c r="I69" i="3" s="1"/>
  <c r="H69" i="3"/>
  <c r="I67" i="7" l="1"/>
  <c r="I74" i="5"/>
  <c r="F66" i="7" l="1"/>
  <c r="H66" i="7"/>
  <c r="I66" i="7" s="1"/>
  <c r="H73" i="5"/>
  <c r="F69" i="4"/>
  <c r="H69" i="4"/>
  <c r="I69" i="4"/>
  <c r="F68" i="3"/>
  <c r="I68" i="3" s="1"/>
  <c r="H68" i="3"/>
  <c r="F65" i="7"/>
  <c r="H65" i="7"/>
  <c r="H72" i="5"/>
  <c r="H68" i="4"/>
  <c r="F68" i="4"/>
  <c r="F67" i="3"/>
  <c r="H67" i="3"/>
  <c r="I67" i="3" s="1"/>
  <c r="H64" i="3"/>
  <c r="H66" i="3"/>
  <c r="I65" i="7" l="1"/>
  <c r="I68" i="4"/>
  <c r="I73" i="5"/>
  <c r="I72" i="5"/>
  <c r="H65" i="3"/>
  <c r="F66" i="3"/>
  <c r="I66" i="3" s="1"/>
  <c r="F64" i="7" l="1"/>
  <c r="H64" i="7"/>
  <c r="H71" i="5"/>
  <c r="F67" i="4"/>
  <c r="H67" i="4"/>
  <c r="F65" i="3"/>
  <c r="I65" i="3" s="1"/>
  <c r="F64" i="3"/>
  <c r="F63" i="7"/>
  <c r="H63" i="7"/>
  <c r="H70" i="5"/>
  <c r="F66" i="4"/>
  <c r="I66" i="4" s="1"/>
  <c r="H66" i="4"/>
  <c r="I64" i="3"/>
  <c r="I63" i="7" l="1"/>
  <c r="I64" i="7"/>
  <c r="I67" i="4"/>
  <c r="I71" i="5"/>
  <c r="I70" i="5"/>
  <c r="F62" i="7"/>
  <c r="I62" i="7" s="1"/>
  <c r="H62" i="7"/>
  <c r="H69" i="5"/>
  <c r="F65" i="4"/>
  <c r="H65" i="4"/>
  <c r="I65" i="4" s="1"/>
  <c r="I63" i="3"/>
  <c r="H63" i="3"/>
  <c r="F63" i="3"/>
  <c r="F62" i="3"/>
  <c r="F61" i="3"/>
  <c r="I69" i="5" l="1"/>
  <c r="H64" i="4"/>
  <c r="H63" i="4"/>
  <c r="H68" i="5"/>
  <c r="I68" i="5" l="1"/>
  <c r="H62" i="3"/>
  <c r="I62" i="3"/>
  <c r="H61" i="3"/>
  <c r="H61" i="7"/>
  <c r="F61" i="7"/>
  <c r="I61" i="7" s="1"/>
  <c r="F63" i="5"/>
  <c r="F64" i="4"/>
  <c r="I64" i="4" l="1"/>
  <c r="I61" i="3"/>
  <c r="H60" i="3"/>
  <c r="F60" i="3"/>
  <c r="I60" i="3" l="1"/>
  <c r="I56" i="7" l="1"/>
  <c r="I55" i="7"/>
  <c r="H60" i="7"/>
  <c r="F60" i="7"/>
  <c r="F63" i="4"/>
  <c r="I63" i="4" s="1"/>
  <c r="H67" i="5"/>
  <c r="I67" i="5" s="1"/>
  <c r="H59" i="3"/>
  <c r="F59" i="3"/>
  <c r="I60" i="7" l="1"/>
  <c r="I59" i="3"/>
  <c r="F59" i="7"/>
  <c r="I25" i="7"/>
  <c r="H59" i="7" s="1"/>
  <c r="G65" i="5"/>
  <c r="F65" i="5"/>
  <c r="J25" i="5"/>
  <c r="H65" i="5" s="1"/>
  <c r="F62" i="4"/>
  <c r="I24" i="4"/>
  <c r="H62" i="4" s="1"/>
  <c r="F58" i="3"/>
  <c r="I25" i="3"/>
  <c r="H58" i="3" s="1"/>
  <c r="I65" i="5" l="1"/>
  <c r="I62" i="4"/>
  <c r="I58" i="3"/>
  <c r="I59" i="7"/>
  <c r="F58" i="7" l="1"/>
  <c r="I24" i="7"/>
  <c r="H58" i="7" s="1"/>
  <c r="F64" i="5"/>
  <c r="G64" i="5"/>
  <c r="J24" i="5"/>
  <c r="H64" i="5" s="1"/>
  <c r="F61" i="4"/>
  <c r="I23" i="4"/>
  <c r="H61" i="4" s="1"/>
  <c r="F57" i="3"/>
  <c r="I24" i="3"/>
  <c r="H57" i="3" s="1"/>
  <c r="I64" i="5" l="1"/>
  <c r="I61" i="4"/>
  <c r="I57" i="3"/>
  <c r="I58" i="7"/>
  <c r="G63" i="5" l="1"/>
  <c r="I23" i="3" l="1"/>
  <c r="F61" i="5"/>
  <c r="F60" i="5"/>
  <c r="F59" i="5"/>
  <c r="F58" i="5"/>
  <c r="I58" i="5" s="1"/>
  <c r="F53" i="5"/>
  <c r="I53" i="5" s="1"/>
  <c r="F54" i="5"/>
  <c r="I54" i="5" s="1"/>
  <c r="F55" i="5"/>
  <c r="I55" i="5" s="1"/>
  <c r="F56" i="5"/>
  <c r="I56" i="5" s="1"/>
  <c r="F57" i="5"/>
  <c r="I57" i="5" s="1"/>
  <c r="F52" i="5"/>
  <c r="I52" i="5" s="1"/>
  <c r="F51" i="5"/>
  <c r="I51" i="5" s="1"/>
  <c r="G62" i="5"/>
  <c r="G61" i="5"/>
  <c r="G60" i="5"/>
  <c r="G59" i="5"/>
  <c r="H61" i="5"/>
  <c r="H60" i="5"/>
  <c r="F60" i="4"/>
  <c r="F59" i="4"/>
  <c r="I59" i="4" s="1"/>
  <c r="F58" i="4"/>
  <c r="I58" i="4" s="1"/>
  <c r="F57" i="4"/>
  <c r="I57" i="4" s="1"/>
  <c r="F56" i="4"/>
  <c r="I56" i="4" s="1"/>
  <c r="F55" i="4"/>
  <c r="I55" i="4" s="1"/>
  <c r="F54" i="4"/>
  <c r="I54" i="4" s="1"/>
  <c r="F53" i="4"/>
  <c r="I53" i="4" s="1"/>
  <c r="F52" i="4"/>
  <c r="I52" i="4" s="1"/>
  <c r="F51" i="4"/>
  <c r="I51" i="4" s="1"/>
  <c r="H59" i="4"/>
  <c r="H55" i="3"/>
  <c r="H54" i="3"/>
  <c r="H53" i="3"/>
  <c r="F56" i="3"/>
  <c r="F55" i="3"/>
  <c r="F54" i="3"/>
  <c r="F53" i="3"/>
  <c r="F52" i="3"/>
  <c r="F51" i="3"/>
  <c r="I61" i="5" l="1"/>
  <c r="I60" i="5"/>
  <c r="I59" i="5"/>
  <c r="F57" i="7"/>
  <c r="I23" i="7"/>
  <c r="H57" i="7" s="1"/>
  <c r="H56" i="3"/>
  <c r="I22" i="4"/>
  <c r="H60" i="4" s="1"/>
  <c r="I60" i="4" s="1"/>
  <c r="J23" i="5"/>
  <c r="F29" i="5"/>
  <c r="F62" i="5" s="1"/>
  <c r="I57" i="7" l="1"/>
  <c r="H62" i="5"/>
  <c r="I62" i="5" s="1"/>
  <c r="H63" i="5"/>
  <c r="I6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Ir atualizando esta tabela com as alterações do ISP</t>
        </r>
      </text>
    </comment>
    <comment ref="E5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Esta tabela é a base do gráfico. Ter atenção e ir atualizando.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Ir atualizando esta tabela com as alterações do ISP</t>
        </r>
      </text>
    </comment>
    <comment ref="E5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Esta tabela é a base do gráfico. Ter atenção e ir atualizando.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Ir atualizando esta tabela com as alterações do ISP</t>
        </r>
      </text>
    </comment>
    <comment ref="E5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Esta tabela é a base do gráfico. Ter atenção e ir atualizando.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Ir atualizando esta tabela com as alterações do ISP</t>
        </r>
      </text>
    </comment>
    <comment ref="E5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Esta tabela é a base do gráfico. Ter atenção e ir atualizando.</t>
        </r>
      </text>
    </comment>
  </commentList>
</comments>
</file>

<file path=xl/sharedStrings.xml><?xml version="1.0" encoding="utf-8"?>
<sst xmlns="http://schemas.openxmlformats.org/spreadsheetml/2006/main" count="475" uniqueCount="162">
  <si>
    <t>TITLE</t>
  </si>
  <si>
    <t>Evolução do ISP das Gasolinas - €/l</t>
  </si>
  <si>
    <t>SUBTITLE</t>
  </si>
  <si>
    <t>COMMENT</t>
  </si>
  <si>
    <t>Fonte: DGEG</t>
  </si>
  <si>
    <t>SCALE</t>
  </si>
  <si>
    <t>€/l</t>
  </si>
  <si>
    <t>CHART TYPE</t>
  </si>
  <si>
    <t>ORDER</t>
  </si>
  <si>
    <t>SIGLAS</t>
  </si>
  <si>
    <t>IVA - Imposto Sobre o Valor Acrescentado</t>
  </si>
  <si>
    <t>ISP - Imposto Sobre Produtos Petrolíferos</t>
  </si>
  <si>
    <t>CSR - Contribuição de Serviço Rodoviário</t>
  </si>
  <si>
    <t>Tcarb - Taxa de Carbono</t>
  </si>
  <si>
    <t>ISP total = ISP + CSR + Tcarb</t>
  </si>
  <si>
    <t>Data</t>
  </si>
  <si>
    <t>IVA (%)</t>
  </si>
  <si>
    <t>ISP (€/l)</t>
  </si>
  <si>
    <t>Tcarb (€/l)</t>
  </si>
  <si>
    <t>01-01-2004 a 15-02-2004</t>
  </si>
  <si>
    <t>01-01-2015 a 31-12-2015</t>
  </si>
  <si>
    <t>01-07-2005 a 30-06-2008</t>
  </si>
  <si>
    <t>16-02-2004 a 09-06-2005</t>
  </si>
  <si>
    <t>01-01-2012 a 31-12-2012</t>
  </si>
  <si>
    <t xml:space="preserve"> a partir de 01-01-2016</t>
  </si>
  <si>
    <t>01-07-2008 a 30-06-2010</t>
  </si>
  <si>
    <t>10-06-2005 a 18-01-2006</t>
  </si>
  <si>
    <t>01-01-2013 a 31-12-2013</t>
  </si>
  <si>
    <t xml:space="preserve"> a partir de 01-01-2017</t>
  </si>
  <si>
    <t>01-07-2010 a 31-12-2010</t>
  </si>
  <si>
    <t>19-01-2006 a 07-01-2007</t>
  </si>
  <si>
    <t>01-01-2014 a 31-12-2014</t>
  </si>
  <si>
    <t>a partir de 01-01-2011</t>
  </si>
  <si>
    <t xml:space="preserve"> a partir de 01-01-2015 </t>
  </si>
  <si>
    <t>12-02-2016 a 11-05-2016</t>
  </si>
  <si>
    <t>12-05-2016 a 31-12-2016</t>
  </si>
  <si>
    <t>01-01-2017 a 31-12-2017</t>
  </si>
  <si>
    <t>a partir de 01-01-2019</t>
  </si>
  <si>
    <t>a partir de 16-10-2021</t>
  </si>
  <si>
    <t>14-03-2022 a 01-05-2022</t>
  </si>
  <si>
    <t>NOTAS:</t>
  </si>
  <si>
    <t>Esta área pode ser usada para ampliar a tabela acima. Não inserir novas colunas no Excel!</t>
  </si>
  <si>
    <t>A tabela abaixo deverá ter sempre os títulos na linha 50.</t>
  </si>
  <si>
    <t>Imposto sobre Produtos Petrolíferos</t>
  </si>
  <si>
    <t>Contribuição de Serviço Rodoviário</t>
  </si>
  <si>
    <t>Taxa de Carbono</t>
  </si>
  <si>
    <t>ISP Total</t>
  </si>
  <si>
    <t>08-01-2007 a 31-07-2007</t>
  </si>
  <si>
    <t>01-09-2007 a 31-12-2011</t>
  </si>
  <si>
    <t>01-01-2016 a 11-02-2016</t>
  </si>
  <si>
    <t>01-01-2018 a 31-12-2018</t>
  </si>
  <si>
    <t>01/01/2020</t>
  </si>
  <si>
    <t>01-01-2021 a 15-10-2021</t>
  </si>
  <si>
    <t>Evolução do ISP dos Gasóleos * - €/l</t>
  </si>
  <si>
    <t>a partir de 01-01-2017</t>
  </si>
  <si>
    <t>14-03-2022 a 27-03-2022</t>
  </si>
  <si>
    <t>28-03-2022 a 01-05-2022</t>
  </si>
  <si>
    <t xml:space="preserve">Imposto sobre Produtos Petrolíferos </t>
  </si>
  <si>
    <t>08-01-2007 a 31-08-2007</t>
  </si>
  <si>
    <t>12-05-2016 a 16-11-2016</t>
  </si>
  <si>
    <t>17-11-2016 a 31-12-2016</t>
  </si>
  <si>
    <t>Evolução do ISP do Gasóleo Colorido e Marcado - €/l</t>
  </si>
  <si>
    <t>Gasóleos Colorido e Marcado</t>
  </si>
  <si>
    <t xml:space="preserve">01-07-1996 a 30-06-2010 </t>
  </si>
  <si>
    <t>01-01-2004 a 09-06-2005</t>
  </si>
  <si>
    <t>a partir de 01-07-2010</t>
  </si>
  <si>
    <t>10-06-2005 a 11-02-2016</t>
  </si>
  <si>
    <t>a partir de 12-02-2016</t>
  </si>
  <si>
    <t xml:space="preserve"> a partir de 01-01-2019</t>
  </si>
  <si>
    <t>10-06-2005 a 31-12-2014</t>
  </si>
  <si>
    <t>12-02-2016 a 31-12-2016</t>
  </si>
  <si>
    <t>Evolução do ISP do Gasóleo de Aquecimento - €/l</t>
  </si>
  <si>
    <t>Gasóleo de Aquecimento</t>
  </si>
  <si>
    <t>01-01-1997 a 30-06-2010</t>
  </si>
  <si>
    <t>01-07-2010 a 31-12-2011</t>
  </si>
  <si>
    <t>10-06-2005 a 23-01-2007</t>
  </si>
  <si>
    <t>a partir de 01-01-2012</t>
  </si>
  <si>
    <t>24-01-2007 a 31-12-2007</t>
  </si>
  <si>
    <t>10-01-2008 a 31-08-2010</t>
  </si>
  <si>
    <t>01-09-2010 a 10-03-2011</t>
  </si>
  <si>
    <t>11-03-2011 a 31-12-2011</t>
  </si>
  <si>
    <t>01-01-2012 a 27-02-2013</t>
  </si>
  <si>
    <t>a partir de 28-02-2013</t>
  </si>
  <si>
    <t>28-02-2013 a 31-12-2014</t>
  </si>
  <si>
    <t>01-01-2015 a 31-12-2016</t>
  </si>
  <si>
    <t>a partir de 01/01/2019</t>
  </si>
  <si>
    <t>Evolução do ISP dos GPL Auto - €/kg</t>
  </si>
  <si>
    <t>€/kg</t>
  </si>
  <si>
    <t>GPL Auto</t>
  </si>
  <si>
    <t>ISP (€/kg)</t>
  </si>
  <si>
    <t>CSR (€/kg)</t>
  </si>
  <si>
    <t>Tcarb (€/kg)</t>
  </si>
  <si>
    <t xml:space="preserve">até 30-06-2005 </t>
  </si>
  <si>
    <t>01-01-2004 a 31-12-2004</t>
  </si>
  <si>
    <t>a partir de 01-01-2015</t>
  </si>
  <si>
    <t>01-01-2005 a 31-12-2005</t>
  </si>
  <si>
    <t xml:space="preserve">a partir de 01-01-2015 </t>
  </si>
  <si>
    <t>a partir de 01-01-2016</t>
  </si>
  <si>
    <t>01-01-2006 a 31-12-2006</t>
  </si>
  <si>
    <t>01-01-2007 a 31-12-2007</t>
  </si>
  <si>
    <t>01-01-2008 a 31-12-2009</t>
  </si>
  <si>
    <t>01-01-2010 a 31-12-2010</t>
  </si>
  <si>
    <t>01-01-2011 a 31-12-2011</t>
  </si>
  <si>
    <t>01-01-2012 a 31-12-2016</t>
  </si>
  <si>
    <t>01-01-2012 a 31-12-2013</t>
  </si>
  <si>
    <t>01-01-2016 a 31-12-2016</t>
  </si>
  <si>
    <t>isp €/L</t>
  </si>
  <si>
    <t>Evolução do ISP do Propano e do Butano - €/kg</t>
  </si>
  <si>
    <t>Propano/Butano</t>
  </si>
  <si>
    <t xml:space="preserve">05-06-2002 a 30-06-2005 </t>
  </si>
  <si>
    <t>até 31-12-2005</t>
  </si>
  <si>
    <t>01-01-2007 a 31-12-2011</t>
  </si>
  <si>
    <t xml:space="preserve">a partir de 01-01-2012 </t>
  </si>
  <si>
    <t>01-01-2001 a 31-12-2005</t>
  </si>
  <si>
    <t>01-01-2012 a 31-12-2014</t>
  </si>
  <si>
    <t>02/05/022</t>
  </si>
  <si>
    <t>09/05/022</t>
  </si>
  <si>
    <t>23/05/022</t>
  </si>
  <si>
    <t>30/05/022</t>
  </si>
  <si>
    <t>06/06/2022 a 19/06/2022</t>
  </si>
  <si>
    <t>20/06/2022 a 26/06/2022</t>
  </si>
  <si>
    <t>21-03-2022  a 30-06-2022</t>
  </si>
  <si>
    <t>27/06/2022 a 03/10/2022</t>
  </si>
  <si>
    <t>04/10/2022 a 06/11/2022</t>
  </si>
  <si>
    <t>20/06/2022 a 03/10/2022</t>
  </si>
  <si>
    <t>07/11/2022 a 04/12/2022</t>
  </si>
  <si>
    <t>05/12/2022 a 01/01/2023</t>
  </si>
  <si>
    <t>06/02/2023 a 05/03/2023</t>
  </si>
  <si>
    <t>02/01/2023 a 05/02/2023</t>
  </si>
  <si>
    <t>02/01/2023 a 05/03/2023</t>
  </si>
  <si>
    <t>06/03/2023 a 17/04/2023</t>
  </si>
  <si>
    <t>06/03/2023 a 30/04/2023</t>
  </si>
  <si>
    <t>18/04/2023 a 30/04/2024</t>
  </si>
  <si>
    <t>01/05/2023 a 05/06/2023</t>
  </si>
  <si>
    <t>01-07-2022  a 30-04-2023</t>
  </si>
  <si>
    <t>01/012021 a 30/04/2023</t>
  </si>
  <si>
    <t>06/06/2023 a 03/07/2023</t>
  </si>
  <si>
    <t>06/06/2023 a 31/07/2023</t>
  </si>
  <si>
    <t>01-07-2022  a 31-07-2023</t>
  </si>
  <si>
    <t>a partir de 29/07/2023</t>
  </si>
  <si>
    <t>a partir de 28-02-2014</t>
  </si>
  <si>
    <t>04/07/2023 a 28/07/2023</t>
  </si>
  <si>
    <t>29/07/2023 a 30/01/2024</t>
  </si>
  <si>
    <t>01/01/2021 a 30/04/2023</t>
  </si>
  <si>
    <t>29/07/2023 a 25/09/2023</t>
  </si>
  <si>
    <t>A partir de  31/01/2024</t>
  </si>
  <si>
    <t>29/07/2023 a 25/08/2024</t>
  </si>
  <si>
    <t>26/09/2023 a 25/08/2024</t>
  </si>
  <si>
    <t>31/01/2024 a 25/08/2024</t>
  </si>
  <si>
    <t>26/08/2024 a 08/09/2024</t>
  </si>
  <si>
    <t>09/09/2024 a 15/09/2024</t>
  </si>
  <si>
    <t>16/09/2023 a 31/12/2024</t>
  </si>
  <si>
    <t>01-01-2018  a atual</t>
  </si>
  <si>
    <t>01/05/2023 a 11/06/2023</t>
  </si>
  <si>
    <t>01/01/2023 a 30/04/2023</t>
  </si>
  <si>
    <t>12/06/2023 a 09/07/2023</t>
  </si>
  <si>
    <t>01/01/2021 a 31/12/2022</t>
  </si>
  <si>
    <t>10/07/2023 a 30/07/2023</t>
  </si>
  <si>
    <t>16/09/2024 a 31/12/2024</t>
  </si>
  <si>
    <t>31/07/2023 a 25/08/2024</t>
  </si>
  <si>
    <t>(01 janeiro 2004 a 01 janeiro 2026 - última atualização)</t>
  </si>
  <si>
    <t>(01 janeiro 2004 a 19 outubro 2026 - última atualização)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</si>
</sst>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3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7" fontId="2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2" fontId="2" fillId="0" borderId="12" xfId="0" applyNumberFormat="1" applyFont="1" applyBorder="1" applyAlignment="1">
      <alignment horizontal="left"/>
    </xf>
    <xf numFmtId="164" fontId="2" fillId="0" borderId="12" xfId="0" applyNumberFormat="1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0" fillId="0" borderId="0" xfId="0" applyAlignment="1">
      <alignment horizontal="center" vertical="center" wrapText="1"/>
    </xf>
    <xf numFmtId="165" fontId="2" fillId="0" borderId="12" xfId="0" applyNumberFormat="1" applyFont="1" applyBorder="1" applyAlignment="1">
      <alignment horizontal="left"/>
    </xf>
    <xf numFmtId="0" fontId="3" fillId="0" borderId="12" xfId="0" applyFont="1" applyBorder="1"/>
    <xf numFmtId="0" fontId="2" fillId="0" borderId="12" xfId="0" applyFont="1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4" fontId="2" fillId="0" borderId="0" xfId="0" applyNumberFormat="1" applyFont="1" applyAlignment="1">
      <alignment horizontal="left"/>
    </xf>
    <xf numFmtId="0" fontId="2" fillId="0" borderId="14" xfId="0" applyFont="1" applyBorder="1" applyAlignment="1">
      <alignment horizontal="left"/>
    </xf>
    <xf numFmtId="164" fontId="2" fillId="0" borderId="17" xfId="0" applyNumberFormat="1" applyFont="1" applyBorder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4" xfId="0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7" fillId="4" borderId="0" xfId="1" applyAlignment="1">
      <alignment horizontal="left"/>
    </xf>
    <xf numFmtId="0" fontId="8" fillId="5" borderId="0" xfId="2" applyAlignment="1">
      <alignment horizontal="left"/>
    </xf>
    <xf numFmtId="0" fontId="9" fillId="6" borderId="0" xfId="3" applyAlignment="1">
      <alignment horizontal="left"/>
    </xf>
    <xf numFmtId="164" fontId="9" fillId="6" borderId="0" xfId="3" applyNumberFormat="1" applyAlignment="1">
      <alignment horizontal="left"/>
    </xf>
    <xf numFmtId="164" fontId="10" fillId="0" borderId="12" xfId="0" applyNumberFormat="1" applyFont="1" applyBorder="1" applyAlignment="1">
      <alignment horizontal="left"/>
    </xf>
    <xf numFmtId="164" fontId="2" fillId="0" borderId="12" xfId="0" applyNumberFormat="1" applyFont="1" applyBorder="1" applyAlignment="1">
      <alignment horizontal="right"/>
    </xf>
    <xf numFmtId="164" fontId="0" fillId="0" borderId="12" xfId="0" applyNumberFormat="1" applyBorder="1"/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3" fillId="0" borderId="15" xfId="0" applyFont="1" applyBorder="1" applyAlignment="1">
      <alignment horizontal="left"/>
    </xf>
    <xf numFmtId="14" fontId="2" fillId="0" borderId="12" xfId="0" applyNumberFormat="1" applyFont="1" applyBorder="1"/>
    <xf numFmtId="14" fontId="2" fillId="0" borderId="12" xfId="0" applyNumberFormat="1" applyFont="1" applyBorder="1" applyAlignment="1">
      <alignment horizontal="left"/>
    </xf>
    <xf numFmtId="0" fontId="9" fillId="0" borderId="12" xfId="3" applyFill="1" applyBorder="1" applyAlignment="1">
      <alignment horizontal="left"/>
    </xf>
    <xf numFmtId="0" fontId="3" fillId="0" borderId="19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1" fontId="2" fillId="0" borderId="12" xfId="0" applyNumberFormat="1" applyFont="1" applyBorder="1" applyAlignment="1">
      <alignment horizontal="left"/>
    </xf>
    <xf numFmtId="1" fontId="2" fillId="0" borderId="12" xfId="0" applyNumberFormat="1" applyFont="1" applyBorder="1"/>
    <xf numFmtId="164" fontId="0" fillId="0" borderId="12" xfId="0" applyNumberFormat="1" applyBorder="1" applyAlignment="1">
      <alignment horizontal="right"/>
    </xf>
    <xf numFmtId="0" fontId="2" fillId="0" borderId="16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0" fillId="0" borderId="12" xfId="0" applyBorder="1"/>
    <xf numFmtId="164" fontId="10" fillId="0" borderId="0" xfId="0" applyNumberFormat="1" applyFont="1" applyAlignment="1">
      <alignment horizontal="left"/>
    </xf>
    <xf numFmtId="0" fontId="2" fillId="0" borderId="12" xfId="0" applyFont="1" applyBorder="1" applyAlignment="1">
      <alignment horizontal="right"/>
    </xf>
    <xf numFmtId="0" fontId="12" fillId="7" borderId="12" xfId="0" applyFont="1" applyFill="1" applyBorder="1" applyAlignment="1">
      <alignment horizontal="left"/>
    </xf>
    <xf numFmtId="14" fontId="0" fillId="0" borderId="12" xfId="0" applyNumberFormat="1" applyBorder="1" applyAlignment="1">
      <alignment horizontal="left"/>
    </xf>
    <xf numFmtId="17" fontId="2" fillId="0" borderId="12" xfId="0" applyNumberFormat="1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3" fillId="0" borderId="0" xfId="0" applyFont="1"/>
    <xf numFmtId="165" fontId="2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3" borderId="18" xfId="0" applyFont="1" applyFill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3" fillId="0" borderId="16" xfId="0" applyFont="1" applyBorder="1" applyAlignment="1">
      <alignment horizontal="left"/>
    </xf>
  </cellXfs>
  <cellStyles count="5">
    <cellStyle name="Correto" xfId="3" builtinId="26"/>
    <cellStyle name="Incorreto" xfId="1" builtinId="27"/>
    <cellStyle name="Neutro" xfId="2" builtinId="28"/>
    <cellStyle name="Normal" xfId="0" builtinId="0"/>
    <cellStyle name="Normal 3 3" xfId="4" xr:uid="{FD6E25BF-15BA-448F-B0E0-BDF0B55AF07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408215</xdr:colOff>
      <xdr:row>76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863028" y="147875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zoomScale="80" zoomScaleNormal="80" workbookViewId="0">
      <selection activeCell="B3" sqref="B3"/>
    </sheetView>
  </sheetViews>
  <sheetFormatPr defaultColWidth="9.140625" defaultRowHeight="15" x14ac:dyDescent="0.25"/>
  <cols>
    <col min="1" max="1" width="14" style="2" bestFit="1" customWidth="1"/>
    <col min="2" max="2" width="9.140625" style="2"/>
    <col min="3" max="3" width="15.140625" style="2" bestFit="1" customWidth="1"/>
    <col min="4" max="4" width="20.7109375" style="2" customWidth="1"/>
    <col min="5" max="5" width="20.42578125" style="2" bestFit="1" customWidth="1"/>
    <col min="6" max="6" width="11" style="2" customWidth="1"/>
    <col min="7" max="7" width="21.5703125" style="2" customWidth="1"/>
    <col min="8" max="8" width="12.85546875" style="2" customWidth="1"/>
    <col min="9" max="9" width="22" style="2" customWidth="1"/>
    <col min="10" max="10" width="14.42578125" style="2" customWidth="1"/>
    <col min="11" max="16384" width="9.140625" style="2"/>
  </cols>
  <sheetData>
    <row r="1" spans="1:10" x14ac:dyDescent="0.25">
      <c r="A1" s="36">
        <v>35</v>
      </c>
    </row>
    <row r="2" spans="1:10" x14ac:dyDescent="0.25">
      <c r="A2" s="36" t="s">
        <v>0</v>
      </c>
      <c r="B2" s="37" t="s">
        <v>1</v>
      </c>
    </row>
    <row r="3" spans="1:10" x14ac:dyDescent="0.25">
      <c r="A3" s="36" t="s">
        <v>2</v>
      </c>
      <c r="B3" s="37" t="s">
        <v>161</v>
      </c>
    </row>
    <row r="4" spans="1:10" x14ac:dyDescent="0.25">
      <c r="A4" s="36" t="s">
        <v>3</v>
      </c>
      <c r="B4" s="37" t="s">
        <v>4</v>
      </c>
    </row>
    <row r="5" spans="1:10" x14ac:dyDescent="0.25">
      <c r="A5" s="36" t="s">
        <v>5</v>
      </c>
      <c r="B5" s="37" t="s">
        <v>6</v>
      </c>
    </row>
    <row r="6" spans="1:10" x14ac:dyDescent="0.25">
      <c r="A6" s="36" t="s">
        <v>7</v>
      </c>
      <c r="B6" s="37"/>
    </row>
    <row r="7" spans="1:10" x14ac:dyDescent="0.25">
      <c r="A7" s="36" t="s">
        <v>8</v>
      </c>
      <c r="B7" s="37">
        <v>1</v>
      </c>
    </row>
    <row r="10" spans="1:10" s="5" customFormat="1" ht="12" x14ac:dyDescent="0.2">
      <c r="B10" s="73"/>
      <c r="C10" s="73"/>
      <c r="D10" s="10"/>
      <c r="E10" s="68"/>
      <c r="F10" s="68"/>
      <c r="G10" s="10"/>
      <c r="H10" s="10"/>
      <c r="I10" s="10"/>
      <c r="J10" s="10"/>
    </row>
    <row r="11" spans="1:10" s="5" customFormat="1" ht="12" x14ac:dyDescent="0.2">
      <c r="B11" s="72"/>
      <c r="C11" s="72"/>
      <c r="D11" s="7"/>
      <c r="F11" s="69"/>
      <c r="H11" s="69"/>
      <c r="J11" s="8"/>
    </row>
    <row r="12" spans="1:10" s="5" customFormat="1" ht="12" x14ac:dyDescent="0.2">
      <c r="B12" s="72"/>
      <c r="C12" s="72"/>
      <c r="D12" s="7"/>
      <c r="F12" s="69"/>
      <c r="H12" s="69"/>
      <c r="J12" s="8"/>
    </row>
    <row r="13" spans="1:10" s="5" customFormat="1" ht="12" x14ac:dyDescent="0.2">
      <c r="B13" s="72"/>
      <c r="C13" s="72"/>
      <c r="D13" s="7"/>
      <c r="F13" s="69"/>
      <c r="H13" s="69"/>
    </row>
    <row r="14" spans="1:10" s="5" customFormat="1" ht="12" x14ac:dyDescent="0.2">
      <c r="B14" s="72"/>
      <c r="C14" s="72"/>
      <c r="D14" s="7"/>
      <c r="F14" s="69"/>
      <c r="H14" s="69"/>
      <c r="I14" s="70"/>
    </row>
    <row r="15" spans="1:10" s="5" customFormat="1" ht="12" x14ac:dyDescent="0.2">
      <c r="B15" s="72"/>
      <c r="C15" s="72"/>
      <c r="D15" s="7"/>
      <c r="F15" s="69"/>
      <c r="H15" s="69"/>
      <c r="I15" s="29"/>
    </row>
    <row r="16" spans="1:10" s="5" customFormat="1" ht="12" x14ac:dyDescent="0.2">
      <c r="F16" s="69"/>
      <c r="I16" s="26"/>
    </row>
    <row r="17" spans="2:10" s="5" customFormat="1" ht="12" x14ac:dyDescent="0.2">
      <c r="F17" s="69"/>
      <c r="I17" s="26"/>
    </row>
    <row r="18" spans="2:10" s="5" customFormat="1" ht="12" x14ac:dyDescent="0.2">
      <c r="F18" s="69"/>
      <c r="I18" s="26"/>
      <c r="J18" s="8"/>
    </row>
    <row r="19" spans="2:10" x14ac:dyDescent="0.25">
      <c r="B19" s="5"/>
      <c r="C19" s="5"/>
      <c r="D19" s="5"/>
      <c r="E19" s="5"/>
      <c r="F19" s="69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69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69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69"/>
      <c r="G22" s="5"/>
      <c r="H22" s="5"/>
      <c r="I22" s="5"/>
      <c r="J22" s="5"/>
    </row>
    <row r="23" spans="2:10" x14ac:dyDescent="0.25">
      <c r="B23" s="5"/>
      <c r="C23" s="5"/>
      <c r="D23" s="5"/>
      <c r="E23" s="26"/>
      <c r="F23" s="69"/>
      <c r="G23" s="5"/>
      <c r="H23" s="26"/>
      <c r="I23" s="26"/>
      <c r="J23" s="5"/>
    </row>
    <row r="24" spans="2:10" x14ac:dyDescent="0.25">
      <c r="B24" s="5"/>
      <c r="C24" s="5"/>
      <c r="D24" s="5"/>
      <c r="E24" s="26"/>
      <c r="F24" s="69"/>
      <c r="G24" s="5"/>
      <c r="H24" s="26"/>
      <c r="I24" s="26"/>
      <c r="J24" s="69"/>
    </row>
    <row r="25" spans="2:10" x14ac:dyDescent="0.25">
      <c r="B25" s="5"/>
      <c r="C25" s="5"/>
      <c r="D25" s="5"/>
      <c r="E25" s="26"/>
      <c r="F25" s="69"/>
      <c r="G25" s="5"/>
      <c r="H25" s="5"/>
      <c r="I25" s="26"/>
      <c r="J25" s="5"/>
    </row>
    <row r="26" spans="2:10" x14ac:dyDescent="0.25">
      <c r="B26" s="5"/>
      <c r="C26" s="5"/>
      <c r="D26" s="5"/>
      <c r="E26" s="26"/>
      <c r="F26" s="8"/>
      <c r="G26" s="5"/>
      <c r="H26" s="5"/>
      <c r="I26" s="5"/>
      <c r="J26" s="5"/>
    </row>
    <row r="27" spans="2:10" x14ac:dyDescent="0.25">
      <c r="B27" s="5"/>
      <c r="C27" s="5"/>
      <c r="D27" s="5"/>
      <c r="E27" s="26"/>
      <c r="F27" s="8"/>
      <c r="G27" s="5"/>
      <c r="H27" s="5"/>
      <c r="I27" s="5"/>
      <c r="J27" s="5"/>
    </row>
    <row r="28" spans="2:10" x14ac:dyDescent="0.25">
      <c r="B28" s="5"/>
      <c r="C28" s="5"/>
      <c r="D28" s="5"/>
      <c r="E28" s="26"/>
      <c r="F28" s="8"/>
      <c r="G28" s="5"/>
      <c r="H28" s="5"/>
      <c r="I28" s="5"/>
      <c r="J28" s="5"/>
    </row>
    <row r="29" spans="2:10" x14ac:dyDescent="0.25">
      <c r="B29" s="5"/>
      <c r="C29" s="5"/>
      <c r="D29" s="5"/>
      <c r="E29" s="26"/>
      <c r="F29" s="8"/>
      <c r="G29" s="5"/>
      <c r="H29" s="5"/>
      <c r="I29" s="5"/>
      <c r="J29" s="5"/>
    </row>
    <row r="30" spans="2:10" x14ac:dyDescent="0.25">
      <c r="B30" s="5"/>
      <c r="C30" s="5"/>
      <c r="D30" s="5"/>
      <c r="E30" s="26"/>
      <c r="F30" s="8"/>
      <c r="G30" s="5"/>
      <c r="H30" s="5"/>
      <c r="I30" s="5"/>
      <c r="J30" s="5"/>
    </row>
    <row r="31" spans="2:10" x14ac:dyDescent="0.25">
      <c r="B31" s="5"/>
      <c r="C31" s="5"/>
      <c r="D31" s="5"/>
      <c r="E31" s="26"/>
      <c r="F31" s="8"/>
      <c r="G31" s="5"/>
      <c r="H31" s="5"/>
      <c r="I31" s="5"/>
      <c r="J31" s="5"/>
    </row>
    <row r="32" spans="2:10" x14ac:dyDescent="0.25">
      <c r="B32" s="5"/>
      <c r="C32" s="5"/>
      <c r="D32" s="5"/>
      <c r="E32" s="26"/>
      <c r="F32" s="8"/>
      <c r="G32" s="5"/>
      <c r="H32" s="5"/>
      <c r="I32" s="5"/>
      <c r="J32" s="5"/>
    </row>
    <row r="33" spans="2:10" x14ac:dyDescent="0.25">
      <c r="B33" s="5"/>
      <c r="C33" s="5"/>
      <c r="D33" s="5"/>
      <c r="E33" s="26"/>
      <c r="F33" s="8"/>
      <c r="G33" s="5"/>
      <c r="H33" s="5"/>
      <c r="I33" s="5"/>
      <c r="J33" s="5"/>
    </row>
    <row r="34" spans="2:10" x14ac:dyDescent="0.25">
      <c r="B34" s="5"/>
      <c r="C34" s="5"/>
      <c r="D34" s="5"/>
      <c r="E34" s="26"/>
      <c r="F34" s="8"/>
      <c r="G34" s="5"/>
      <c r="H34" s="5"/>
      <c r="I34" s="5"/>
      <c r="J34" s="5"/>
    </row>
    <row r="35" spans="2:10" x14ac:dyDescent="0.25">
      <c r="B35" s="5"/>
      <c r="C35" s="5"/>
      <c r="D35" s="5"/>
      <c r="E35" s="26"/>
      <c r="F35" s="8"/>
      <c r="G35" s="5"/>
      <c r="H35" s="5"/>
      <c r="I35" s="5"/>
      <c r="J35" s="5"/>
    </row>
    <row r="36" spans="2:10" x14ac:dyDescent="0.25">
      <c r="B36" s="5"/>
      <c r="C36" s="5"/>
      <c r="D36" s="5"/>
      <c r="E36" s="26"/>
      <c r="F36" s="8"/>
      <c r="G36" s="5"/>
      <c r="H36" s="5"/>
      <c r="I36" s="5"/>
      <c r="J36" s="5"/>
    </row>
    <row r="37" spans="2:10" x14ac:dyDescent="0.25">
      <c r="B37" s="5"/>
      <c r="C37" s="5"/>
      <c r="D37" s="5"/>
      <c r="E37" s="26"/>
      <c r="F37" s="8"/>
      <c r="G37" s="5"/>
      <c r="H37" s="5"/>
      <c r="I37" s="5"/>
      <c r="J37" s="5"/>
    </row>
    <row r="38" spans="2:10" x14ac:dyDescent="0.25">
      <c r="B38" s="5"/>
      <c r="C38" s="5"/>
      <c r="D38" s="5"/>
      <c r="E38" s="26"/>
      <c r="F38" s="8"/>
      <c r="G38" s="5"/>
      <c r="H38" s="5"/>
      <c r="I38" s="5"/>
      <c r="J38" s="5"/>
    </row>
    <row r="39" spans="2:10" x14ac:dyDescent="0.25">
      <c r="B39" s="5"/>
      <c r="C39" s="5"/>
      <c r="D39" s="5"/>
      <c r="E39" s="26"/>
      <c r="F39" s="8"/>
      <c r="G39" s="5"/>
      <c r="H39" s="5"/>
      <c r="I39" s="5"/>
      <c r="J39" s="5"/>
    </row>
    <row r="40" spans="2:10" x14ac:dyDescent="0.25">
      <c r="B40" s="5"/>
      <c r="C40" s="5"/>
      <c r="D40" s="5"/>
      <c r="E40" s="26"/>
      <c r="F40" s="8"/>
      <c r="G40" s="5"/>
      <c r="H40" s="5"/>
      <c r="I40" s="5"/>
      <c r="J40" s="5"/>
    </row>
    <row r="41" spans="2:10" x14ac:dyDescent="0.25">
      <c r="B41" s="5"/>
      <c r="C41" s="5"/>
      <c r="D41" s="5"/>
      <c r="E41" s="26"/>
      <c r="F41" s="8"/>
      <c r="G41" s="5"/>
      <c r="H41" s="5"/>
      <c r="I41" s="5"/>
      <c r="J41" s="5"/>
    </row>
    <row r="42" spans="2:10" x14ac:dyDescent="0.25">
      <c r="B42" s="5"/>
      <c r="C42" s="5"/>
      <c r="D42" s="5"/>
      <c r="E42" s="26"/>
      <c r="F42" s="8"/>
      <c r="G42" s="5"/>
      <c r="H42" s="5"/>
      <c r="I42" s="5"/>
      <c r="J42" s="5"/>
    </row>
    <row r="43" spans="2:10" x14ac:dyDescent="0.25">
      <c r="B43" s="5"/>
      <c r="C43" s="5"/>
      <c r="D43" s="5"/>
      <c r="E43" s="26"/>
      <c r="F43" s="8"/>
      <c r="G43" s="5"/>
      <c r="H43" s="5"/>
      <c r="I43" s="5"/>
      <c r="J43" s="5"/>
    </row>
    <row r="44" spans="2:10" x14ac:dyDescent="0.25">
      <c r="B44" s="5"/>
      <c r="C44" s="5"/>
      <c r="D44" s="5"/>
      <c r="E44" s="26"/>
      <c r="F44" s="8"/>
      <c r="G44" s="5"/>
      <c r="H44" s="5"/>
      <c r="I44" s="5"/>
      <c r="J44" s="5"/>
    </row>
    <row r="45" spans="2:10" x14ac:dyDescent="0.25">
      <c r="B45" s="5"/>
      <c r="C45" s="5"/>
      <c r="D45" s="5"/>
      <c r="E45" s="26"/>
      <c r="F45" s="8"/>
      <c r="G45" s="5"/>
      <c r="H45" s="5"/>
      <c r="I45" s="5"/>
      <c r="J45" s="5"/>
    </row>
    <row r="46" spans="2:10" x14ac:dyDescent="0.25">
      <c r="B46" s="5"/>
      <c r="C46" s="5"/>
      <c r="D46" s="5"/>
      <c r="E46" s="26"/>
      <c r="F46" s="8"/>
      <c r="G46" s="5"/>
      <c r="H46" s="5"/>
      <c r="I46" s="5"/>
      <c r="J46" s="5"/>
    </row>
    <row r="47" spans="2:10" x14ac:dyDescent="0.25">
      <c r="B47" s="5"/>
      <c r="C47" s="5"/>
      <c r="D47" s="5"/>
      <c r="E47" s="26"/>
      <c r="F47" s="8"/>
      <c r="G47" s="5"/>
      <c r="H47" s="5"/>
      <c r="I47" s="5"/>
      <c r="J47" s="5"/>
    </row>
    <row r="48" spans="2:10" x14ac:dyDescent="0.25">
      <c r="B48" s="5"/>
      <c r="C48" s="5"/>
      <c r="D48" s="5"/>
      <c r="E48" s="26"/>
      <c r="F48" s="8"/>
      <c r="G48" s="5"/>
      <c r="H48" s="5"/>
      <c r="I48" s="5"/>
      <c r="J48" s="5"/>
    </row>
    <row r="49" spans="2:10" ht="15.75" thickBot="1" x14ac:dyDescent="0.3">
      <c r="B49" s="38"/>
      <c r="C49" s="38" t="s">
        <v>42</v>
      </c>
      <c r="D49" s="38"/>
      <c r="E49" s="38"/>
      <c r="F49" s="39"/>
      <c r="G49" s="66"/>
      <c r="H49" s="66"/>
      <c r="I49" s="67"/>
      <c r="J49" s="5"/>
    </row>
    <row r="50" spans="2:10" s="19" customFormat="1" ht="75" x14ac:dyDescent="0.25">
      <c r="D50" s="31"/>
      <c r="E50" s="23"/>
      <c r="F50" s="24" t="s">
        <v>43</v>
      </c>
      <c r="G50" s="24" t="s">
        <v>44</v>
      </c>
      <c r="H50" s="24" t="s">
        <v>45</v>
      </c>
      <c r="I50" s="25" t="s">
        <v>46</v>
      </c>
    </row>
    <row r="51" spans="2:10" x14ac:dyDescent="0.25">
      <c r="C51" s="5"/>
      <c r="D51" s="47">
        <v>37987</v>
      </c>
      <c r="E51" s="51" t="s">
        <v>19</v>
      </c>
      <c r="F51" s="16">
        <v>0.51759999999999995</v>
      </c>
      <c r="G51" s="16">
        <v>0</v>
      </c>
      <c r="H51" s="16">
        <v>0</v>
      </c>
      <c r="I51" s="16">
        <v>0.51759999999999995</v>
      </c>
    </row>
    <row r="52" spans="2:10" x14ac:dyDescent="0.25">
      <c r="C52" s="5"/>
      <c r="D52" s="47">
        <v>38033</v>
      </c>
      <c r="E52" s="51" t="s">
        <v>22</v>
      </c>
      <c r="F52" s="16">
        <v>0.52259999999999995</v>
      </c>
      <c r="G52" s="16">
        <v>0</v>
      </c>
      <c r="H52" s="16">
        <v>0</v>
      </c>
      <c r="I52" s="16">
        <v>0.52259999999999995</v>
      </c>
    </row>
    <row r="53" spans="2:10" x14ac:dyDescent="0.25">
      <c r="C53" s="5"/>
      <c r="D53" s="47">
        <v>38513</v>
      </c>
      <c r="E53" s="51" t="s">
        <v>26</v>
      </c>
      <c r="F53" s="16">
        <v>0.53295000000000003</v>
      </c>
      <c r="G53" s="16">
        <v>0</v>
      </c>
      <c r="H53" s="16">
        <v>0</v>
      </c>
      <c r="I53" s="16">
        <v>0.53295000000000003</v>
      </c>
    </row>
    <row r="54" spans="2:10" x14ac:dyDescent="0.25">
      <c r="C54" s="5"/>
      <c r="D54" s="47">
        <v>38736</v>
      </c>
      <c r="E54" s="51" t="s">
        <v>30</v>
      </c>
      <c r="F54" s="16">
        <v>0.55794999999999995</v>
      </c>
      <c r="G54" s="16">
        <v>0</v>
      </c>
      <c r="H54" s="16">
        <v>0</v>
      </c>
      <c r="I54" s="16">
        <v>0.55794999999999995</v>
      </c>
    </row>
    <row r="55" spans="2:10" x14ac:dyDescent="0.25">
      <c r="D55" s="47">
        <v>39090</v>
      </c>
      <c r="E55" s="51" t="s">
        <v>47</v>
      </c>
      <c r="F55" s="16">
        <v>0.58294999999999997</v>
      </c>
      <c r="G55" s="16">
        <v>0</v>
      </c>
      <c r="H55" s="16">
        <v>0</v>
      </c>
      <c r="I55" s="16">
        <v>0.58294999999999997</v>
      </c>
    </row>
    <row r="56" spans="2:10" x14ac:dyDescent="0.25">
      <c r="C56" s="13"/>
      <c r="D56" s="62">
        <v>39326</v>
      </c>
      <c r="E56" s="51" t="s">
        <v>48</v>
      </c>
      <c r="F56" s="16">
        <v>0.51895000000000002</v>
      </c>
      <c r="G56" s="16">
        <v>6.4000000000000001E-2</v>
      </c>
      <c r="H56" s="16">
        <v>0</v>
      </c>
      <c r="I56" s="16">
        <v>0.58295000000000008</v>
      </c>
    </row>
    <row r="57" spans="2:10" x14ac:dyDescent="0.25">
      <c r="C57" s="5"/>
      <c r="D57" s="47">
        <v>40909</v>
      </c>
      <c r="E57" s="63" t="s">
        <v>23</v>
      </c>
      <c r="F57" s="16">
        <v>0.51895000000000002</v>
      </c>
      <c r="G57" s="16">
        <v>6.547E-2</v>
      </c>
      <c r="H57" s="16">
        <v>0</v>
      </c>
      <c r="I57" s="16">
        <v>0.58442000000000005</v>
      </c>
    </row>
    <row r="58" spans="2:10" x14ac:dyDescent="0.25">
      <c r="C58" s="5"/>
      <c r="D58" s="47">
        <v>41275</v>
      </c>
      <c r="E58" s="51" t="s">
        <v>27</v>
      </c>
      <c r="F58" s="16">
        <v>0.51895000000000002</v>
      </c>
      <c r="G58" s="16">
        <v>6.6320000000000004E-2</v>
      </c>
      <c r="H58" s="16">
        <v>0</v>
      </c>
      <c r="I58" s="16">
        <v>0.58527000000000007</v>
      </c>
    </row>
    <row r="59" spans="2:10" x14ac:dyDescent="0.25">
      <c r="C59" s="5"/>
      <c r="D59" s="47">
        <v>41640</v>
      </c>
      <c r="E59" s="51" t="s">
        <v>31</v>
      </c>
      <c r="F59" s="16">
        <v>0.51895000000000002</v>
      </c>
      <c r="G59" s="16">
        <v>6.7000000000000004E-2</v>
      </c>
      <c r="H59" s="16">
        <v>0</v>
      </c>
      <c r="I59" s="16">
        <v>0.58594999999999997</v>
      </c>
    </row>
    <row r="60" spans="2:10" x14ac:dyDescent="0.25">
      <c r="C60" s="5"/>
      <c r="D60" s="47">
        <v>42005</v>
      </c>
      <c r="E60" s="51" t="s">
        <v>20</v>
      </c>
      <c r="F60" s="16">
        <v>0.51895000000000002</v>
      </c>
      <c r="G60" s="16">
        <v>8.6999999999999994E-2</v>
      </c>
      <c r="H60" s="16">
        <v>1.1560000000000001E-2</v>
      </c>
      <c r="I60" s="16">
        <v>0.61751</v>
      </c>
    </row>
    <row r="61" spans="2:10" x14ac:dyDescent="0.25">
      <c r="C61" s="5"/>
      <c r="D61" s="47">
        <v>42370</v>
      </c>
      <c r="E61" s="63" t="s">
        <v>49</v>
      </c>
      <c r="F61" s="16">
        <v>0.51895000000000002</v>
      </c>
      <c r="G61" s="16">
        <v>8.6999999999999994E-2</v>
      </c>
      <c r="H61" s="16">
        <v>1.515E-2</v>
      </c>
      <c r="I61" s="16">
        <v>0.62109999999999999</v>
      </c>
    </row>
    <row r="62" spans="2:10" x14ac:dyDescent="0.25">
      <c r="D62" s="47">
        <v>42412</v>
      </c>
      <c r="E62" s="51" t="s">
        <v>34</v>
      </c>
      <c r="F62" s="16">
        <v>0.57894999999999996</v>
      </c>
      <c r="G62" s="16">
        <v>8.6999999999999994E-2</v>
      </c>
      <c r="H62" s="16">
        <v>1.515E-2</v>
      </c>
      <c r="I62" s="16">
        <v>0.68109999999999993</v>
      </c>
    </row>
    <row r="63" spans="2:10" x14ac:dyDescent="0.25">
      <c r="D63" s="47">
        <v>42502</v>
      </c>
      <c r="E63" s="51" t="s">
        <v>35</v>
      </c>
      <c r="F63" s="16">
        <v>0.56894999999999996</v>
      </c>
      <c r="G63" s="16">
        <v>8.6999999999999994E-2</v>
      </c>
      <c r="H63" s="16">
        <v>1.515E-2</v>
      </c>
      <c r="I63" s="16">
        <v>0.67109999999999992</v>
      </c>
    </row>
    <row r="64" spans="2:10" x14ac:dyDescent="0.25">
      <c r="D64" s="47">
        <v>42736</v>
      </c>
      <c r="E64" s="47" t="s">
        <v>36</v>
      </c>
      <c r="F64" s="16">
        <v>0.54895000000000005</v>
      </c>
      <c r="G64" s="16">
        <v>8.6999999999999994E-2</v>
      </c>
      <c r="H64" s="16">
        <v>1.5560000000000001E-2</v>
      </c>
      <c r="I64" s="16">
        <v>0.65151000000000003</v>
      </c>
    </row>
    <row r="65" spans="2:9" x14ac:dyDescent="0.25">
      <c r="B65" s="14"/>
      <c r="D65" s="47">
        <v>43101</v>
      </c>
      <c r="E65" s="47" t="s">
        <v>50</v>
      </c>
      <c r="F65" s="16">
        <v>0.55664000000000002</v>
      </c>
      <c r="G65" s="16">
        <v>8.6999999999999994E-2</v>
      </c>
      <c r="H65" s="16">
        <v>1.5560000000000001E-2</v>
      </c>
      <c r="I65" s="16">
        <v>0.65920000000000001</v>
      </c>
    </row>
    <row r="66" spans="2:9" x14ac:dyDescent="0.25">
      <c r="D66" s="47">
        <v>43466</v>
      </c>
      <c r="E66" s="47" t="s">
        <v>37</v>
      </c>
      <c r="F66" s="16">
        <v>0.52664</v>
      </c>
      <c r="G66" s="16">
        <v>8.6999999999999994E-2</v>
      </c>
      <c r="H66" s="16">
        <v>2.894E-2</v>
      </c>
      <c r="I66" s="16">
        <v>0.64257999999999993</v>
      </c>
    </row>
    <row r="67" spans="2:9" x14ac:dyDescent="0.25">
      <c r="D67" s="50" t="s">
        <v>51</v>
      </c>
      <c r="E67" s="50">
        <v>2020</v>
      </c>
      <c r="F67" s="16">
        <v>0.52664</v>
      </c>
      <c r="G67" s="16">
        <v>8.6999999999999994E-2</v>
      </c>
      <c r="H67" s="16">
        <v>5.3650000000000003E-2</v>
      </c>
      <c r="I67" s="16">
        <v>0.66728999999999994</v>
      </c>
    </row>
    <row r="68" spans="2:9" x14ac:dyDescent="0.25">
      <c r="D68" s="47">
        <v>44197</v>
      </c>
      <c r="E68" s="51" t="s">
        <v>52</v>
      </c>
      <c r="F68" s="16">
        <v>0.52664</v>
      </c>
      <c r="G68" s="16">
        <v>8.6999999999999994E-2</v>
      </c>
      <c r="H68" s="16">
        <v>5.4339999999999999E-2</v>
      </c>
      <c r="I68" s="16">
        <v>0.66798000000000002</v>
      </c>
    </row>
    <row r="69" spans="2:9" x14ac:dyDescent="0.25">
      <c r="D69" s="47">
        <v>44485</v>
      </c>
      <c r="E69" s="51" t="s">
        <v>38</v>
      </c>
      <c r="F69" s="16">
        <v>0.50663999999999998</v>
      </c>
      <c r="G69" s="16">
        <v>8.6999999999999994E-2</v>
      </c>
      <c r="H69" s="16">
        <v>5.4339999999999999E-2</v>
      </c>
      <c r="I69" s="16">
        <v>0.64798</v>
      </c>
    </row>
    <row r="70" spans="2:9" x14ac:dyDescent="0.25">
      <c r="D70" s="47">
        <v>44634</v>
      </c>
      <c r="E70" s="47" t="s">
        <v>39</v>
      </c>
      <c r="F70" s="16">
        <v>0.48992000000000002</v>
      </c>
      <c r="G70" s="16">
        <v>8.6999999999999994E-2</v>
      </c>
      <c r="H70" s="16">
        <v>5.4339999999999999E-2</v>
      </c>
      <c r="I70" s="16">
        <v>0.63125999999999993</v>
      </c>
    </row>
    <row r="71" spans="2:9" x14ac:dyDescent="0.25">
      <c r="D71" s="47" t="s">
        <v>115</v>
      </c>
      <c r="E71" s="47" t="s">
        <v>115</v>
      </c>
      <c r="F71" s="16">
        <v>0.36377999999999999</v>
      </c>
      <c r="G71" s="16">
        <v>8.6999999999999994E-2</v>
      </c>
      <c r="H71" s="16">
        <v>5.4339999999999999E-2</v>
      </c>
      <c r="I71" s="16">
        <v>0.50512000000000001</v>
      </c>
    </row>
    <row r="72" spans="2:9" x14ac:dyDescent="0.25">
      <c r="D72" s="47" t="s">
        <v>116</v>
      </c>
      <c r="E72" s="47" t="s">
        <v>116</v>
      </c>
      <c r="F72" s="16">
        <v>0.34370000000000001</v>
      </c>
      <c r="G72" s="16">
        <v>8.6999999999999994E-2</v>
      </c>
      <c r="H72" s="16">
        <v>5.4339999999999999E-2</v>
      </c>
      <c r="I72" s="16">
        <v>0.48503999999999997</v>
      </c>
    </row>
    <row r="73" spans="2:9" x14ac:dyDescent="0.25">
      <c r="D73" s="47" t="s">
        <v>117</v>
      </c>
      <c r="E73" s="47" t="s">
        <v>117</v>
      </c>
      <c r="F73" s="16">
        <v>0.33149000000000001</v>
      </c>
      <c r="G73" s="16">
        <v>8.6999999999999994E-2</v>
      </c>
      <c r="H73" s="16">
        <v>5.4339999999999999E-2</v>
      </c>
      <c r="I73" s="16">
        <v>0.47283000000000003</v>
      </c>
    </row>
    <row r="74" spans="2:9" x14ac:dyDescent="0.25">
      <c r="D74" s="47" t="s">
        <v>118</v>
      </c>
      <c r="E74" s="47" t="s">
        <v>118</v>
      </c>
      <c r="F74" s="16">
        <v>0.32675999999999999</v>
      </c>
      <c r="G74" s="16">
        <v>8.6999999999999994E-2</v>
      </c>
      <c r="H74" s="16">
        <v>5.4339999999999999E-2</v>
      </c>
      <c r="I74" s="16">
        <v>0.46810000000000002</v>
      </c>
    </row>
    <row r="75" spans="2:9" x14ac:dyDescent="0.25">
      <c r="D75" s="47" t="s">
        <v>119</v>
      </c>
      <c r="E75" s="47" t="s">
        <v>119</v>
      </c>
      <c r="F75" s="16">
        <v>0.32277</v>
      </c>
      <c r="G75" s="16">
        <v>8.6999999999999994E-2</v>
      </c>
      <c r="H75" s="16">
        <v>5.4339999999999999E-2</v>
      </c>
      <c r="I75" s="16">
        <v>0.46410999999999997</v>
      </c>
    </row>
    <row r="76" spans="2:9" x14ac:dyDescent="0.25">
      <c r="D76" s="47" t="s">
        <v>120</v>
      </c>
      <c r="E76" s="47" t="s">
        <v>120</v>
      </c>
      <c r="F76" s="16">
        <v>0.31313999999999997</v>
      </c>
      <c r="G76" s="16">
        <v>8.6999999999999994E-2</v>
      </c>
      <c r="H76" s="16">
        <v>5.4339999999999999E-2</v>
      </c>
      <c r="I76" s="16">
        <v>0.45447999999999994</v>
      </c>
    </row>
    <row r="77" spans="2:9" x14ac:dyDescent="0.25">
      <c r="D77" s="47" t="s">
        <v>122</v>
      </c>
      <c r="E77" s="47" t="s">
        <v>122</v>
      </c>
      <c r="F77" s="16">
        <v>0.31606000000000001</v>
      </c>
      <c r="G77" s="16">
        <v>8.6999999999999994E-2</v>
      </c>
      <c r="H77" s="16">
        <v>5.4339999999999999E-2</v>
      </c>
      <c r="I77" s="16">
        <v>0.45739999999999997</v>
      </c>
    </row>
    <row r="78" spans="2:9" x14ac:dyDescent="0.25">
      <c r="D78" s="47" t="s">
        <v>123</v>
      </c>
      <c r="E78" s="47" t="s">
        <v>123</v>
      </c>
      <c r="F78" s="16">
        <v>0.36052000000000001</v>
      </c>
      <c r="G78" s="16">
        <v>8.6999999999999994E-2</v>
      </c>
      <c r="H78" s="16">
        <v>5.4339999999999999E-2</v>
      </c>
      <c r="I78" s="16">
        <v>0.50185999999999997</v>
      </c>
    </row>
    <row r="79" spans="2:9" x14ac:dyDescent="0.25">
      <c r="D79" s="47" t="s">
        <v>125</v>
      </c>
      <c r="E79" s="47" t="s">
        <v>125</v>
      </c>
      <c r="F79" s="16">
        <v>0.34921000000000002</v>
      </c>
      <c r="G79" s="16">
        <v>8.6999999999999994E-2</v>
      </c>
      <c r="H79" s="16">
        <v>5.4339999999999999E-2</v>
      </c>
      <c r="I79" s="16">
        <v>0.49054999999999999</v>
      </c>
    </row>
    <row r="80" spans="2:9" x14ac:dyDescent="0.25">
      <c r="D80" s="47" t="s">
        <v>126</v>
      </c>
      <c r="E80" s="47" t="s">
        <v>126</v>
      </c>
      <c r="F80" s="20">
        <v>0.37286999999999998</v>
      </c>
      <c r="G80" s="16">
        <v>8.6999999999999994E-2</v>
      </c>
      <c r="H80" s="16">
        <v>5.4339999999999999E-2</v>
      </c>
      <c r="I80" s="16">
        <v>0.51421000000000006</v>
      </c>
    </row>
    <row r="81" spans="4:10" x14ac:dyDescent="0.25">
      <c r="D81" s="47" t="s">
        <v>128</v>
      </c>
      <c r="E81" s="47" t="s">
        <v>128</v>
      </c>
      <c r="F81" s="16">
        <v>0.47164</v>
      </c>
      <c r="G81" s="16">
        <v>0</v>
      </c>
      <c r="H81" s="16">
        <v>5.4339999999999999E-2</v>
      </c>
      <c r="I81" s="16">
        <v>0.52598</v>
      </c>
    </row>
    <row r="82" spans="4:10" x14ac:dyDescent="0.25">
      <c r="D82" s="47" t="s">
        <v>127</v>
      </c>
      <c r="E82" s="47" t="s">
        <v>127</v>
      </c>
      <c r="F82" s="16">
        <v>0.45256999999999997</v>
      </c>
      <c r="G82" s="16">
        <v>0</v>
      </c>
      <c r="H82" s="16">
        <v>5.4339999999999999E-2</v>
      </c>
      <c r="I82" s="16">
        <v>0.50690999999999997</v>
      </c>
    </row>
    <row r="83" spans="4:10" x14ac:dyDescent="0.25">
      <c r="D83" s="47" t="s">
        <v>131</v>
      </c>
      <c r="E83" s="47" t="s">
        <v>131</v>
      </c>
      <c r="F83" s="16">
        <v>0.45983000000000002</v>
      </c>
      <c r="G83" s="16">
        <v>0</v>
      </c>
      <c r="H83" s="16">
        <v>5.4339999999999999E-2</v>
      </c>
      <c r="I83" s="16">
        <v>0.51417000000000002</v>
      </c>
    </row>
    <row r="84" spans="4:10" x14ac:dyDescent="0.25">
      <c r="D84" s="47" t="s">
        <v>133</v>
      </c>
      <c r="E84" s="47" t="s">
        <v>133</v>
      </c>
      <c r="F84" s="16">
        <v>0.46035999999999999</v>
      </c>
      <c r="G84" s="16">
        <v>0</v>
      </c>
      <c r="H84" s="16">
        <v>7.2700000000000001E-2</v>
      </c>
      <c r="I84" s="16">
        <v>0.53305999999999998</v>
      </c>
    </row>
    <row r="85" spans="4:10" x14ac:dyDescent="0.25">
      <c r="D85" s="47" t="s">
        <v>136</v>
      </c>
      <c r="E85" s="47" t="s">
        <v>136</v>
      </c>
      <c r="F85" s="16">
        <v>0.46035999999999999</v>
      </c>
      <c r="G85" s="16">
        <v>0</v>
      </c>
      <c r="H85" s="16">
        <v>9.1056978935999996E-2</v>
      </c>
      <c r="I85" s="16">
        <v>0.55141697893599995</v>
      </c>
    </row>
    <row r="86" spans="4:10" x14ac:dyDescent="0.25">
      <c r="D86" s="47" t="s">
        <v>141</v>
      </c>
      <c r="E86" s="47" t="s">
        <v>141</v>
      </c>
      <c r="F86" s="16">
        <v>0.46035999999999999</v>
      </c>
      <c r="G86" s="16">
        <v>0</v>
      </c>
      <c r="H86" s="16">
        <v>0.10941421490999999</v>
      </c>
      <c r="I86" s="16">
        <v>0.56977421491000002</v>
      </c>
    </row>
    <row r="87" spans="4:10" x14ac:dyDescent="0.25">
      <c r="D87" s="47" t="s">
        <v>144</v>
      </c>
      <c r="E87" s="47" t="s">
        <v>144</v>
      </c>
      <c r="F87" s="16">
        <v>0.46035999999999999</v>
      </c>
      <c r="G87" s="16">
        <v>0</v>
      </c>
      <c r="H87" s="16">
        <v>0.12777145088399999</v>
      </c>
      <c r="I87" s="16">
        <v>0.58813145088399998</v>
      </c>
    </row>
    <row r="88" spans="4:10" x14ac:dyDescent="0.25">
      <c r="D88" s="47" t="s">
        <v>147</v>
      </c>
      <c r="E88" s="47" t="s">
        <v>147</v>
      </c>
      <c r="F88" s="16">
        <v>0.45035999999999998</v>
      </c>
      <c r="G88" s="16">
        <v>0</v>
      </c>
      <c r="H88" s="16">
        <v>0.12777145088399999</v>
      </c>
      <c r="I88" s="16">
        <v>0.57813145088399998</v>
      </c>
    </row>
    <row r="89" spans="4:10" x14ac:dyDescent="0.25">
      <c r="D89" s="51" t="s">
        <v>149</v>
      </c>
      <c r="E89" s="51" t="s">
        <v>149</v>
      </c>
      <c r="F89" s="16">
        <v>0.45035999999999998</v>
      </c>
      <c r="G89" s="16">
        <v>0</v>
      </c>
      <c r="H89" s="16">
        <v>0.15531</v>
      </c>
      <c r="I89" s="16">
        <v>0.60566999999999993</v>
      </c>
    </row>
    <row r="90" spans="4:10" x14ac:dyDescent="0.25">
      <c r="D90" s="51" t="s">
        <v>150</v>
      </c>
      <c r="E90" s="51" t="s">
        <v>150</v>
      </c>
      <c r="F90" s="16">
        <v>0.45035999999999998</v>
      </c>
      <c r="G90" s="16">
        <v>0</v>
      </c>
      <c r="H90" s="16">
        <v>0.16907693556600001</v>
      </c>
      <c r="I90" s="16">
        <v>0.61943693556599999</v>
      </c>
    </row>
    <row r="91" spans="4:10" x14ac:dyDescent="0.25">
      <c r="D91" s="47" t="s">
        <v>151</v>
      </c>
      <c r="E91" s="47" t="s">
        <v>151</v>
      </c>
      <c r="F91" s="16">
        <v>0.45035999999999998</v>
      </c>
      <c r="G91" s="16">
        <v>0</v>
      </c>
      <c r="H91" s="16">
        <v>0.18400397399999999</v>
      </c>
      <c r="I91" s="16">
        <v>0.634363974</v>
      </c>
    </row>
    <row r="92" spans="4:10" x14ac:dyDescent="0.25">
      <c r="D92" s="47">
        <v>45658</v>
      </c>
      <c r="E92" s="47">
        <v>45658</v>
      </c>
      <c r="F92" s="16">
        <v>0.48126000000000002</v>
      </c>
      <c r="G92" s="16">
        <v>0</v>
      </c>
      <c r="H92" s="16">
        <v>0.15309812133</v>
      </c>
      <c r="I92" s="16">
        <v>0.63435812133000002</v>
      </c>
      <c r="J92" s="26"/>
    </row>
    <row r="93" spans="4:10" x14ac:dyDescent="0.25">
      <c r="D93" s="47">
        <v>45992</v>
      </c>
      <c r="E93" s="47">
        <v>45992</v>
      </c>
      <c r="F93" s="16">
        <v>0.49752000000000002</v>
      </c>
      <c r="G93" s="16">
        <v>0</v>
      </c>
      <c r="H93" s="16">
        <v>0.15309812133</v>
      </c>
      <c r="I93" s="16">
        <v>0.65061812132999997</v>
      </c>
    </row>
    <row r="94" spans="4:10" x14ac:dyDescent="0.25">
      <c r="D94" s="47">
        <v>46023</v>
      </c>
      <c r="E94" s="47">
        <v>46023</v>
      </c>
      <c r="F94" s="16">
        <v>0.49752000000000002</v>
      </c>
      <c r="G94" s="16">
        <v>0</v>
      </c>
      <c r="H94" s="16">
        <v>0.15910778198700001</v>
      </c>
      <c r="I94" s="16">
        <f>SUM(F94:H94)</f>
        <v>0.656627781987</v>
      </c>
    </row>
    <row r="95" spans="4:10" x14ac:dyDescent="0.25">
      <c r="D95" s="47">
        <v>46097</v>
      </c>
      <c r="E95" s="47">
        <v>46097</v>
      </c>
      <c r="F95" s="16">
        <v>0.47053</v>
      </c>
      <c r="G95" s="16">
        <v>0</v>
      </c>
      <c r="H95" s="16">
        <v>0.15910778198700001</v>
      </c>
      <c r="I95" s="16">
        <f>SUM(F95:H95)</f>
        <v>0.62963778198700004</v>
      </c>
    </row>
    <row r="96" spans="4:10" x14ac:dyDescent="0.25">
      <c r="D96" s="47">
        <v>46104</v>
      </c>
      <c r="E96" s="47">
        <v>46104</v>
      </c>
      <c r="F96" s="16">
        <v>0.45644000000000001</v>
      </c>
      <c r="G96" s="16">
        <v>0</v>
      </c>
      <c r="H96" s="16">
        <v>0.15910778198700001</v>
      </c>
      <c r="I96" s="16">
        <f>SUM(F96:H96)</f>
        <v>0.615547781987</v>
      </c>
    </row>
    <row r="97" spans="4:9" x14ac:dyDescent="0.25">
      <c r="D97" s="47">
        <v>46118</v>
      </c>
      <c r="E97" s="47">
        <v>46118</v>
      </c>
      <c r="F97" s="16">
        <v>0.45168000000000003</v>
      </c>
      <c r="G97" s="16">
        <v>0</v>
      </c>
      <c r="H97" s="16">
        <v>0.15910778198700001</v>
      </c>
      <c r="I97" s="16">
        <f t="shared" ref="I97:I104" si="0">SUM(F97:H97)</f>
        <v>0.61078778198700001</v>
      </c>
    </row>
    <row r="98" spans="4:9" x14ac:dyDescent="0.25">
      <c r="D98" s="47">
        <v>46146</v>
      </c>
      <c r="E98" s="47">
        <v>46146</v>
      </c>
      <c r="F98" s="16">
        <v>0.44555</v>
      </c>
      <c r="G98" s="16">
        <v>0</v>
      </c>
      <c r="H98" s="16">
        <v>0.15910778198700001</v>
      </c>
      <c r="I98" s="16">
        <f t="shared" si="0"/>
        <v>0.60465778198700004</v>
      </c>
    </row>
    <row r="99" spans="4:9" x14ac:dyDescent="0.25">
      <c r="D99" s="47">
        <v>46153</v>
      </c>
      <c r="E99" s="47">
        <v>46153</v>
      </c>
      <c r="F99" s="16">
        <v>0.44772000000000001</v>
      </c>
      <c r="G99" s="16">
        <v>0</v>
      </c>
      <c r="H99" s="16">
        <v>0.15910778198700001</v>
      </c>
      <c r="I99" s="16">
        <f t="shared" si="0"/>
        <v>0.60682778198700005</v>
      </c>
    </row>
    <row r="100" spans="4:9" x14ac:dyDescent="0.25">
      <c r="D100" s="47">
        <v>46160</v>
      </c>
      <c r="E100" s="47">
        <v>46160</v>
      </c>
      <c r="F100" s="16">
        <v>0.44026999999999999</v>
      </c>
      <c r="G100" s="16">
        <v>0</v>
      </c>
      <c r="H100" s="16">
        <v>0.15910778198700001</v>
      </c>
      <c r="I100" s="16">
        <f t="shared" si="0"/>
        <v>0.59937778198699998</v>
      </c>
    </row>
    <row r="101" spans="4:9" x14ac:dyDescent="0.25">
      <c r="D101" s="47">
        <v>46167</v>
      </c>
      <c r="E101" s="47">
        <v>46167</v>
      </c>
      <c r="F101" s="16">
        <v>0.43712000000000001</v>
      </c>
      <c r="G101" s="16">
        <v>0</v>
      </c>
      <c r="H101" s="16">
        <v>0.15910778198700001</v>
      </c>
      <c r="I101" s="16">
        <f t="shared" si="0"/>
        <v>0.59622778198699999</v>
      </c>
    </row>
    <row r="102" spans="4:9" x14ac:dyDescent="0.25">
      <c r="D102" s="47">
        <v>46174</v>
      </c>
      <c r="E102" s="47">
        <v>46174</v>
      </c>
      <c r="F102" s="16">
        <v>0.45534000000000002</v>
      </c>
      <c r="G102" s="16">
        <v>0</v>
      </c>
      <c r="H102" s="16">
        <v>0.15910778198700001</v>
      </c>
      <c r="I102" s="16">
        <f t="shared" si="0"/>
        <v>0.61444778198700001</v>
      </c>
    </row>
    <row r="103" spans="4:9" x14ac:dyDescent="0.25">
      <c r="D103" s="47">
        <v>46181</v>
      </c>
      <c r="E103" s="47">
        <v>46181</v>
      </c>
      <c r="F103" s="16">
        <v>0.45555000000000001</v>
      </c>
      <c r="G103" s="16">
        <v>0</v>
      </c>
      <c r="H103" s="16">
        <v>0.15910778198700001</v>
      </c>
      <c r="I103" s="16">
        <f t="shared" si="0"/>
        <v>0.61465778198700005</v>
      </c>
    </row>
    <row r="104" spans="4:9" x14ac:dyDescent="0.25">
      <c r="D104" s="47">
        <v>46188</v>
      </c>
      <c r="E104" s="47">
        <v>46188</v>
      </c>
      <c r="F104" s="16">
        <v>0.45623999999999998</v>
      </c>
      <c r="G104" s="16">
        <v>0</v>
      </c>
      <c r="H104" s="16">
        <v>0.15910778198700001</v>
      </c>
      <c r="I104" s="16">
        <f t="shared" si="0"/>
        <v>0.61534778198700002</v>
      </c>
    </row>
    <row r="105" spans="4:9" x14ac:dyDescent="0.25">
      <c r="D105" s="47">
        <v>46195</v>
      </c>
      <c r="E105" s="47">
        <v>46195</v>
      </c>
      <c r="F105" s="16">
        <v>0.46631</v>
      </c>
      <c r="G105" s="16">
        <v>0</v>
      </c>
      <c r="H105" s="16">
        <v>0.15910778198700001</v>
      </c>
      <c r="I105" s="16">
        <f t="shared" ref="I105" si="1">SUM(F105:H105)</f>
        <v>0.62541778198700004</v>
      </c>
    </row>
    <row r="106" spans="4:9" x14ac:dyDescent="0.25">
      <c r="D106" s="47">
        <v>46209</v>
      </c>
      <c r="E106" s="47">
        <v>46209</v>
      </c>
      <c r="F106" s="16">
        <v>0.46239000000000002</v>
      </c>
      <c r="G106" s="16">
        <v>0</v>
      </c>
      <c r="H106" s="16">
        <v>0.15910778198700001</v>
      </c>
      <c r="I106" s="16">
        <f t="shared" ref="I106" si="2">SUM(F106:H106)</f>
        <v>0.62149778198700001</v>
      </c>
    </row>
    <row r="107" spans="4:9" x14ac:dyDescent="0.25">
      <c r="D107" s="47">
        <v>46216</v>
      </c>
      <c r="E107" s="47">
        <v>46216</v>
      </c>
      <c r="F107" s="16">
        <v>0.45701000000000003</v>
      </c>
      <c r="G107" s="16">
        <v>0</v>
      </c>
      <c r="H107" s="16">
        <v>0.15910778198700001</v>
      </c>
      <c r="I107" s="16">
        <f t="shared" ref="I107" si="3">SUM(F107:H107)</f>
        <v>0.61611778198700007</v>
      </c>
    </row>
    <row r="108" spans="4:9" x14ac:dyDescent="0.25">
      <c r="D108" s="47">
        <v>46223</v>
      </c>
      <c r="E108" s="47">
        <v>46223</v>
      </c>
      <c r="F108" s="16">
        <v>0.4511</v>
      </c>
      <c r="G108" s="16">
        <v>0</v>
      </c>
      <c r="H108" s="16">
        <v>0.15910778198700001</v>
      </c>
      <c r="I108" s="16">
        <f t="shared" ref="I108" si="4">SUM(F108:H108)</f>
        <v>0.61020778198699999</v>
      </c>
    </row>
    <row r="109" spans="4:9" x14ac:dyDescent="0.25">
      <c r="D109" s="47">
        <v>46230</v>
      </c>
      <c r="E109" s="47">
        <v>46230</v>
      </c>
      <c r="F109" s="16">
        <v>0.44252000000000002</v>
      </c>
      <c r="G109" s="16">
        <v>0</v>
      </c>
      <c r="H109" s="16">
        <v>0.15910778198700001</v>
      </c>
      <c r="I109" s="16">
        <f t="shared" ref="I109:I110" si="5">SUM(F109:H109)</f>
        <v>0.60162778198700007</v>
      </c>
    </row>
    <row r="110" spans="4:9" x14ac:dyDescent="0.25">
      <c r="D110" s="47">
        <v>46237</v>
      </c>
      <c r="E110" s="47">
        <v>46237</v>
      </c>
      <c r="F110" s="16">
        <v>0.4451</v>
      </c>
      <c r="G110" s="16">
        <v>0</v>
      </c>
      <c r="H110" s="16">
        <v>0.15910778198700001</v>
      </c>
      <c r="I110" s="16">
        <f t="shared" si="5"/>
        <v>0.60420778198699998</v>
      </c>
    </row>
    <row r="111" spans="4:9" x14ac:dyDescent="0.25">
      <c r="D111" s="47">
        <v>46244</v>
      </c>
      <c r="E111" s="47">
        <v>46244</v>
      </c>
      <c r="F111" s="16">
        <v>0.46212999999999999</v>
      </c>
      <c r="G111" s="16">
        <v>0</v>
      </c>
      <c r="H111" s="16">
        <v>0.15910778198700001</v>
      </c>
      <c r="I111" s="16">
        <f t="shared" ref="I111" si="6">SUM(F111:H111)</f>
        <v>0.62123778198699997</v>
      </c>
    </row>
    <row r="112" spans="4:9" x14ac:dyDescent="0.25">
      <c r="D112" s="47">
        <v>46251</v>
      </c>
      <c r="E112" s="47">
        <v>46251</v>
      </c>
      <c r="F112" s="16">
        <v>0.44790999999999997</v>
      </c>
      <c r="G112" s="16">
        <v>0</v>
      </c>
      <c r="H112" s="16">
        <v>0.15910778198700001</v>
      </c>
      <c r="I112" s="16">
        <f t="shared" ref="I112" si="7">SUM(F112:H112)</f>
        <v>0.60701778198699996</v>
      </c>
    </row>
    <row r="113" spans="4:9" x14ac:dyDescent="0.25">
      <c r="D113" s="47">
        <v>46258</v>
      </c>
      <c r="E113" s="47">
        <v>46258</v>
      </c>
      <c r="F113" s="16">
        <v>0.44353999999999999</v>
      </c>
      <c r="G113" s="16">
        <v>0</v>
      </c>
      <c r="H113" s="16">
        <v>0.15910778198700001</v>
      </c>
      <c r="I113" s="16">
        <f t="shared" ref="I113" si="8">SUM(F113:H113)</f>
        <v>0.60264778198699998</v>
      </c>
    </row>
    <row r="114" spans="4:9" x14ac:dyDescent="0.25">
      <c r="D114" s="47">
        <v>46265</v>
      </c>
      <c r="E114" s="47">
        <v>46265</v>
      </c>
      <c r="F114" s="16">
        <v>0.44590000000000002</v>
      </c>
      <c r="G114" s="16">
        <v>0</v>
      </c>
      <c r="H114" s="16">
        <v>0.15910778198700001</v>
      </c>
      <c r="I114" s="16">
        <f t="shared" ref="I114" si="9">SUM(F114:H114)</f>
        <v>0.605007781987</v>
      </c>
    </row>
    <row r="115" spans="4:9" x14ac:dyDescent="0.25">
      <c r="D115" s="47">
        <v>46272</v>
      </c>
      <c r="E115" s="47">
        <v>46272</v>
      </c>
      <c r="F115" s="16">
        <v>0.42204000000000003</v>
      </c>
      <c r="G115" s="16">
        <v>0</v>
      </c>
      <c r="H115" s="16">
        <v>0.15910778198700001</v>
      </c>
      <c r="I115" s="16">
        <f t="shared" ref="I115" si="10">SUM(F115:H115)</f>
        <v>0.58114778198700001</v>
      </c>
    </row>
    <row r="116" spans="4:9" x14ac:dyDescent="0.25">
      <c r="D116" s="47">
        <v>46279</v>
      </c>
      <c r="E116" s="47">
        <v>46279</v>
      </c>
      <c r="F116" s="16">
        <v>0.43159999999999998</v>
      </c>
      <c r="G116" s="16">
        <v>0</v>
      </c>
      <c r="H116" s="16">
        <v>0.15910778198700001</v>
      </c>
      <c r="I116" s="16">
        <f t="shared" ref="I116" si="11">SUM(F116:H116)</f>
        <v>0.59070778198700002</v>
      </c>
    </row>
    <row r="117" spans="4:9" x14ac:dyDescent="0.25">
      <c r="D117" s="47">
        <v>46286</v>
      </c>
      <c r="E117" s="47">
        <v>46286</v>
      </c>
      <c r="F117" s="16">
        <v>0.42330000000000001</v>
      </c>
      <c r="G117" s="16">
        <v>0</v>
      </c>
      <c r="H117" s="16">
        <v>0.15910778198700001</v>
      </c>
      <c r="I117" s="16">
        <f t="shared" ref="I117" si="12">SUM(F117:H117)</f>
        <v>0.58240778198700005</v>
      </c>
    </row>
    <row r="118" spans="4:9" x14ac:dyDescent="0.25">
      <c r="D118" s="47">
        <v>46293</v>
      </c>
      <c r="E118" s="47">
        <v>46293</v>
      </c>
      <c r="F118" s="16">
        <v>0.42409000000000002</v>
      </c>
      <c r="G118" s="16">
        <v>0</v>
      </c>
      <c r="H118" s="16">
        <v>0.15910778198700001</v>
      </c>
      <c r="I118" s="16">
        <f t="shared" ref="I118" si="13">SUM(F118:H118)</f>
        <v>0.58319778198700001</v>
      </c>
    </row>
    <row r="119" spans="4:9" x14ac:dyDescent="0.25">
      <c r="D119" s="47">
        <v>46300</v>
      </c>
      <c r="E119" s="47">
        <v>46300</v>
      </c>
      <c r="F119" s="16">
        <v>0.42814999999999998</v>
      </c>
      <c r="G119" s="16">
        <v>0</v>
      </c>
      <c r="H119" s="16">
        <v>0.15910778198700001</v>
      </c>
      <c r="I119" s="16">
        <f t="shared" ref="I119" si="14">SUM(F119:H119)</f>
        <v>0.58725778198699996</v>
      </c>
    </row>
    <row r="120" spans="4:9" x14ac:dyDescent="0.25">
      <c r="D120" s="47">
        <v>46307</v>
      </c>
      <c r="E120" s="47">
        <v>46307</v>
      </c>
      <c r="F120" s="16">
        <v>0.41948000000000002</v>
      </c>
      <c r="G120" s="16">
        <v>0</v>
      </c>
      <c r="H120" s="16">
        <v>0.15910778198700001</v>
      </c>
      <c r="I120" s="16">
        <f t="shared" ref="I120" si="15">SUM(F120:H120)</f>
        <v>0.578587781987</v>
      </c>
    </row>
    <row r="121" spans="4:9" x14ac:dyDescent="0.25">
      <c r="D121" s="47">
        <v>46314</v>
      </c>
      <c r="E121" s="47">
        <v>46314</v>
      </c>
      <c r="F121" s="16">
        <v>0.45291999999999999</v>
      </c>
      <c r="G121" s="16">
        <v>0</v>
      </c>
      <c r="H121" s="16">
        <v>0.15910778198700001</v>
      </c>
      <c r="I121" s="16">
        <f t="shared" ref="I121" si="16">SUM(F121:H121)</f>
        <v>0.61202778198700003</v>
      </c>
    </row>
    <row r="122" spans="4:9" x14ac:dyDescent="0.25">
      <c r="E122" s="13"/>
    </row>
    <row r="123" spans="4:9" x14ac:dyDescent="0.25">
      <c r="E123" s="13"/>
    </row>
    <row r="124" spans="4:9" x14ac:dyDescent="0.25">
      <c r="E124" s="13"/>
    </row>
    <row r="125" spans="4:9" x14ac:dyDescent="0.25">
      <c r="E125" s="13"/>
    </row>
    <row r="126" spans="4:9" x14ac:dyDescent="0.25">
      <c r="E126" s="13"/>
    </row>
    <row r="127" spans="4:9" x14ac:dyDescent="0.25">
      <c r="E127" s="13"/>
    </row>
    <row r="128" spans="4:9" x14ac:dyDescent="0.25">
      <c r="E128" s="13"/>
    </row>
    <row r="129" spans="5:5" x14ac:dyDescent="0.25">
      <c r="E129" s="13"/>
    </row>
    <row r="130" spans="5:5" x14ac:dyDescent="0.25">
      <c r="E130" s="13"/>
    </row>
    <row r="131" spans="5:5" x14ac:dyDescent="0.25">
      <c r="E131" s="13"/>
    </row>
    <row r="132" spans="5:5" x14ac:dyDescent="0.25">
      <c r="E132" s="13"/>
    </row>
    <row r="133" spans="5:5" x14ac:dyDescent="0.25">
      <c r="E133" s="13"/>
    </row>
    <row r="134" spans="5:5" x14ac:dyDescent="0.25">
      <c r="E134" s="13"/>
    </row>
    <row r="135" spans="5:5" x14ac:dyDescent="0.25">
      <c r="E135" s="13"/>
    </row>
    <row r="136" spans="5:5" x14ac:dyDescent="0.25">
      <c r="E136" s="13"/>
    </row>
    <row r="137" spans="5:5" x14ac:dyDescent="0.25">
      <c r="E137" s="13"/>
    </row>
    <row r="138" spans="5:5" x14ac:dyDescent="0.25">
      <c r="E138" s="13"/>
    </row>
    <row r="139" spans="5:5" x14ac:dyDescent="0.25">
      <c r="E139" s="13"/>
    </row>
    <row r="140" spans="5:5" x14ac:dyDescent="0.25">
      <c r="E140" s="13"/>
    </row>
    <row r="141" spans="5:5" x14ac:dyDescent="0.25">
      <c r="E141" s="13"/>
    </row>
    <row r="142" spans="5:5" x14ac:dyDescent="0.25">
      <c r="E142" s="13"/>
    </row>
    <row r="143" spans="5:5" x14ac:dyDescent="0.25">
      <c r="E143" s="13"/>
    </row>
    <row r="144" spans="5:5" x14ac:dyDescent="0.25">
      <c r="E144" s="13"/>
    </row>
    <row r="145" spans="5:5" x14ac:dyDescent="0.25">
      <c r="E145" s="13"/>
    </row>
    <row r="146" spans="5:5" x14ac:dyDescent="0.25">
      <c r="E146" s="13"/>
    </row>
    <row r="147" spans="5:5" x14ac:dyDescent="0.25">
      <c r="E147" s="13"/>
    </row>
    <row r="148" spans="5:5" x14ac:dyDescent="0.25">
      <c r="E148" s="13"/>
    </row>
    <row r="149" spans="5:5" x14ac:dyDescent="0.25">
      <c r="E149" s="13"/>
    </row>
    <row r="150" spans="5:5" x14ac:dyDescent="0.25">
      <c r="E150" s="13"/>
    </row>
    <row r="151" spans="5:5" x14ac:dyDescent="0.25">
      <c r="E151" s="13"/>
    </row>
    <row r="152" spans="5:5" x14ac:dyDescent="0.25">
      <c r="E152" s="13"/>
    </row>
    <row r="153" spans="5:5" x14ac:dyDescent="0.25">
      <c r="E153" s="13"/>
    </row>
    <row r="154" spans="5:5" x14ac:dyDescent="0.25">
      <c r="E154" s="13"/>
    </row>
    <row r="155" spans="5:5" x14ac:dyDescent="0.25">
      <c r="E155" s="13"/>
    </row>
    <row r="156" spans="5:5" x14ac:dyDescent="0.25">
      <c r="E156" s="13"/>
    </row>
    <row r="157" spans="5:5" x14ac:dyDescent="0.25">
      <c r="E157" s="13"/>
    </row>
    <row r="158" spans="5:5" x14ac:dyDescent="0.25">
      <c r="E158" s="13"/>
    </row>
    <row r="159" spans="5:5" x14ac:dyDescent="0.25">
      <c r="E159" s="13"/>
    </row>
    <row r="160" spans="5:5" x14ac:dyDescent="0.25">
      <c r="E160" s="13"/>
    </row>
    <row r="161" spans="5:5" x14ac:dyDescent="0.25">
      <c r="E161" s="13"/>
    </row>
    <row r="162" spans="5:5" x14ac:dyDescent="0.25">
      <c r="E162" s="13"/>
    </row>
    <row r="163" spans="5:5" x14ac:dyDescent="0.25">
      <c r="E163" s="13"/>
    </row>
    <row r="164" spans="5:5" x14ac:dyDescent="0.25">
      <c r="E164" s="13"/>
    </row>
    <row r="165" spans="5:5" x14ac:dyDescent="0.25">
      <c r="E165" s="13"/>
    </row>
    <row r="166" spans="5:5" x14ac:dyDescent="0.25">
      <c r="E166" s="13"/>
    </row>
    <row r="167" spans="5:5" x14ac:dyDescent="0.25">
      <c r="E167" s="13"/>
    </row>
    <row r="168" spans="5:5" x14ac:dyDescent="0.25">
      <c r="E168" s="13"/>
    </row>
    <row r="169" spans="5:5" x14ac:dyDescent="0.25">
      <c r="E169" s="13"/>
    </row>
    <row r="170" spans="5:5" x14ac:dyDescent="0.25">
      <c r="E170" s="13"/>
    </row>
    <row r="171" spans="5:5" x14ac:dyDescent="0.25">
      <c r="E171" s="13"/>
    </row>
    <row r="172" spans="5:5" x14ac:dyDescent="0.25">
      <c r="E172" s="13"/>
    </row>
    <row r="173" spans="5:5" x14ac:dyDescent="0.25">
      <c r="E173" s="13"/>
    </row>
    <row r="174" spans="5:5" x14ac:dyDescent="0.25">
      <c r="E174" s="13"/>
    </row>
    <row r="175" spans="5:5" x14ac:dyDescent="0.25">
      <c r="E175" s="13"/>
    </row>
    <row r="176" spans="5:5" x14ac:dyDescent="0.25">
      <c r="E176" s="13"/>
    </row>
    <row r="177" spans="5:5" x14ac:dyDescent="0.25">
      <c r="E177" s="13"/>
    </row>
    <row r="178" spans="5:5" x14ac:dyDescent="0.25">
      <c r="E178" s="13"/>
    </row>
    <row r="179" spans="5:5" x14ac:dyDescent="0.25">
      <c r="E179" s="13"/>
    </row>
    <row r="180" spans="5:5" x14ac:dyDescent="0.25">
      <c r="E180" s="13"/>
    </row>
    <row r="181" spans="5:5" x14ac:dyDescent="0.25">
      <c r="E181" s="13"/>
    </row>
    <row r="182" spans="5:5" x14ac:dyDescent="0.25">
      <c r="E182" s="13"/>
    </row>
    <row r="183" spans="5:5" x14ac:dyDescent="0.25">
      <c r="E183" s="13"/>
    </row>
    <row r="184" spans="5:5" x14ac:dyDescent="0.25">
      <c r="E184" s="13"/>
    </row>
    <row r="185" spans="5:5" x14ac:dyDescent="0.25">
      <c r="E185" s="13"/>
    </row>
    <row r="186" spans="5:5" x14ac:dyDescent="0.25">
      <c r="E186" s="13"/>
    </row>
    <row r="187" spans="5:5" x14ac:dyDescent="0.25">
      <c r="E187" s="13"/>
    </row>
    <row r="188" spans="5:5" x14ac:dyDescent="0.25">
      <c r="E188" s="13"/>
    </row>
    <row r="189" spans="5:5" x14ac:dyDescent="0.25">
      <c r="E189" s="13"/>
    </row>
    <row r="190" spans="5:5" x14ac:dyDescent="0.25">
      <c r="E190" s="13"/>
    </row>
    <row r="191" spans="5:5" x14ac:dyDescent="0.25">
      <c r="E191" s="13"/>
    </row>
    <row r="192" spans="5:5" x14ac:dyDescent="0.25">
      <c r="E192" s="13"/>
    </row>
    <row r="193" spans="5:5" x14ac:dyDescent="0.25">
      <c r="E193" s="13"/>
    </row>
    <row r="194" spans="5:5" x14ac:dyDescent="0.25">
      <c r="E194" s="13"/>
    </row>
    <row r="195" spans="5:5" x14ac:dyDescent="0.25">
      <c r="E195" s="13"/>
    </row>
    <row r="196" spans="5:5" x14ac:dyDescent="0.25">
      <c r="E196" s="13"/>
    </row>
    <row r="197" spans="5:5" x14ac:dyDescent="0.25">
      <c r="E197" s="13"/>
    </row>
    <row r="198" spans="5:5" x14ac:dyDescent="0.25">
      <c r="E198" s="13"/>
    </row>
    <row r="199" spans="5:5" x14ac:dyDescent="0.25">
      <c r="E199" s="13"/>
    </row>
    <row r="200" spans="5:5" x14ac:dyDescent="0.25">
      <c r="E200" s="13"/>
    </row>
    <row r="201" spans="5:5" x14ac:dyDescent="0.25">
      <c r="E201" s="13"/>
    </row>
    <row r="202" spans="5:5" x14ac:dyDescent="0.25">
      <c r="E202" s="13"/>
    </row>
    <row r="203" spans="5:5" x14ac:dyDescent="0.25">
      <c r="E203" s="13"/>
    </row>
  </sheetData>
  <mergeCells count="6">
    <mergeCell ref="B15:C15"/>
    <mergeCell ref="B10:C10"/>
    <mergeCell ref="B11:C11"/>
    <mergeCell ref="B12:C12"/>
    <mergeCell ref="B13:C13"/>
    <mergeCell ref="B14:C14"/>
  </mergeCells>
  <phoneticPr fontId="11" type="noConversion"/>
  <pageMargins left="0.7" right="0.7" top="0.75" bottom="0.75" header="0.3" footer="0.3"/>
  <pageSetup paperSize="9" orientation="portrait" r:id="rId1"/>
  <ignoredErrors>
    <ignoredError sqref="I94:I116 I117:I11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2"/>
  <sheetViews>
    <sheetView tabSelected="1" zoomScale="80" zoomScaleNormal="80" workbookViewId="0">
      <selection activeCell="E12" sqref="E12"/>
    </sheetView>
  </sheetViews>
  <sheetFormatPr defaultRowHeight="15" x14ac:dyDescent="0.25"/>
  <cols>
    <col min="1" max="1" width="14" bestFit="1" customWidth="1"/>
    <col min="2" max="2" width="9.140625" style="2"/>
    <col min="3" max="3" width="12.85546875" style="2" customWidth="1"/>
    <col min="4" max="4" width="25.28515625" style="2" customWidth="1"/>
    <col min="5" max="5" width="27.5703125" style="2" customWidth="1"/>
    <col min="6" max="6" width="9.85546875" style="2" customWidth="1"/>
    <col min="7" max="7" width="19.140625" style="2" customWidth="1"/>
    <col min="8" max="8" width="10.5703125" style="2" customWidth="1"/>
    <col min="9" max="9" width="24.5703125" style="2" customWidth="1"/>
    <col min="10" max="10" width="10.7109375" style="2" bestFit="1" customWidth="1"/>
    <col min="11" max="11" width="9.140625" style="2"/>
  </cols>
  <sheetData>
    <row r="1" spans="1:12" x14ac:dyDescent="0.25">
      <c r="A1" s="36">
        <v>36</v>
      </c>
    </row>
    <row r="2" spans="1:12" x14ac:dyDescent="0.25">
      <c r="A2" s="36" t="s">
        <v>0</v>
      </c>
      <c r="B2" s="37" t="s">
        <v>53</v>
      </c>
    </row>
    <row r="3" spans="1:12" x14ac:dyDescent="0.25">
      <c r="A3" s="36" t="s">
        <v>2</v>
      </c>
      <c r="B3" s="37" t="s">
        <v>161</v>
      </c>
    </row>
    <row r="4" spans="1:12" x14ac:dyDescent="0.25">
      <c r="A4" s="36" t="s">
        <v>3</v>
      </c>
      <c r="B4" s="37" t="s">
        <v>4</v>
      </c>
    </row>
    <row r="5" spans="1:12" x14ac:dyDescent="0.25">
      <c r="A5" s="36" t="s">
        <v>5</v>
      </c>
      <c r="B5" s="37" t="s">
        <v>6</v>
      </c>
    </row>
    <row r="6" spans="1:12" x14ac:dyDescent="0.25">
      <c r="A6" s="36" t="s">
        <v>7</v>
      </c>
      <c r="B6" s="37"/>
    </row>
    <row r="7" spans="1:12" x14ac:dyDescent="0.25">
      <c r="A7" s="36" t="s">
        <v>8</v>
      </c>
      <c r="B7" s="37">
        <v>2</v>
      </c>
    </row>
    <row r="8" spans="1:12" s="5" customFormat="1" ht="12" x14ac:dyDescent="0.2">
      <c r="B8" s="73"/>
      <c r="C8" s="73"/>
      <c r="D8" s="10"/>
      <c r="E8" s="10"/>
      <c r="F8" s="10"/>
      <c r="G8" s="10"/>
      <c r="H8" s="10"/>
      <c r="I8" s="10"/>
      <c r="J8" s="10"/>
    </row>
    <row r="9" spans="1:12" s="4" customFormat="1" ht="12" x14ac:dyDescent="0.2">
      <c r="B9" s="72"/>
      <c r="C9" s="72"/>
      <c r="D9" s="7"/>
      <c r="E9" s="5"/>
      <c r="F9" s="8"/>
      <c r="G9" s="5"/>
      <c r="H9" s="8"/>
      <c r="I9" s="5"/>
      <c r="J9" s="5"/>
      <c r="K9" s="5"/>
    </row>
    <row r="10" spans="1:12" s="4" customFormat="1" ht="12" x14ac:dyDescent="0.2">
      <c r="B10" s="72"/>
      <c r="C10" s="72"/>
      <c r="D10" s="7"/>
      <c r="E10" s="5"/>
      <c r="F10" s="8"/>
      <c r="G10" s="5"/>
      <c r="H10" s="8"/>
      <c r="I10" s="70"/>
      <c r="J10" s="5"/>
      <c r="K10" s="5"/>
    </row>
    <row r="11" spans="1:12" s="4" customFormat="1" ht="12" x14ac:dyDescent="0.2">
      <c r="B11" s="72"/>
      <c r="C11" s="72"/>
      <c r="D11" s="7"/>
      <c r="E11" s="5"/>
      <c r="F11" s="8"/>
      <c r="G11" s="5"/>
      <c r="H11" s="8"/>
      <c r="I11" s="70"/>
      <c r="J11" s="5"/>
      <c r="K11" s="5"/>
    </row>
    <row r="12" spans="1:12" s="4" customFormat="1" ht="12" x14ac:dyDescent="0.2">
      <c r="B12" s="72"/>
      <c r="C12" s="72"/>
      <c r="D12" s="7"/>
      <c r="E12" s="5"/>
      <c r="F12" s="8"/>
      <c r="G12" s="5"/>
      <c r="H12" s="8"/>
      <c r="I12" s="70"/>
      <c r="J12" s="5"/>
      <c r="K12" s="5"/>
    </row>
    <row r="13" spans="1:12" s="4" customFormat="1" ht="12" x14ac:dyDescent="0.2">
      <c r="B13" s="72"/>
      <c r="C13" s="72"/>
      <c r="D13" s="7"/>
      <c r="E13" s="5"/>
      <c r="F13" s="8"/>
      <c r="G13" s="5"/>
      <c r="H13" s="8"/>
      <c r="I13" s="71"/>
      <c r="J13" s="5"/>
      <c r="K13" s="5"/>
    </row>
    <row r="14" spans="1:12" s="4" customFormat="1" ht="12" x14ac:dyDescent="0.2">
      <c r="B14" s="5"/>
      <c r="C14" s="5"/>
      <c r="D14" s="5"/>
      <c r="E14" s="5"/>
      <c r="F14" s="8"/>
      <c r="G14" s="5"/>
      <c r="H14" s="5"/>
      <c r="I14" s="26"/>
      <c r="J14" s="5"/>
      <c r="K14" s="5"/>
      <c r="L14" s="6"/>
    </row>
    <row r="15" spans="1:12" s="4" customFormat="1" ht="12" x14ac:dyDescent="0.2">
      <c r="B15" s="5"/>
      <c r="C15" s="5"/>
      <c r="D15" s="5"/>
      <c r="E15" s="5"/>
      <c r="F15" s="8"/>
      <c r="G15" s="5"/>
      <c r="H15" s="5"/>
      <c r="I15" s="26"/>
      <c r="J15" s="5"/>
      <c r="K15" s="5"/>
    </row>
    <row r="16" spans="1:12" s="4" customFormat="1" ht="12" x14ac:dyDescent="0.2">
      <c r="B16" s="5"/>
      <c r="C16" s="5"/>
      <c r="D16" s="5"/>
      <c r="E16" s="5"/>
      <c r="F16" s="5"/>
      <c r="G16" s="5"/>
      <c r="H16" s="5"/>
      <c r="I16" s="26"/>
      <c r="J16" s="5"/>
      <c r="K16" s="5"/>
    </row>
    <row r="17" spans="2:11" s="4" customFormat="1" ht="12" x14ac:dyDescent="0.2">
      <c r="F17" s="5"/>
      <c r="I17" s="5"/>
      <c r="J17" s="5"/>
      <c r="K17" s="5"/>
    </row>
    <row r="18" spans="2:11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1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1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1" x14ac:dyDescent="0.25">
      <c r="B21" s="5"/>
      <c r="C21" s="5"/>
      <c r="D21" s="5"/>
      <c r="E21" s="5"/>
      <c r="F21" s="5"/>
      <c r="G21" s="5"/>
      <c r="H21" s="5"/>
      <c r="I21" s="26"/>
      <c r="J21" s="5"/>
    </row>
    <row r="22" spans="2:11" x14ac:dyDescent="0.25">
      <c r="B22" s="5"/>
      <c r="C22" s="5"/>
      <c r="D22" s="5"/>
      <c r="E22" s="26"/>
      <c r="F22" s="5"/>
      <c r="G22" s="5"/>
      <c r="H22" s="5"/>
      <c r="I22" s="26"/>
      <c r="J22" s="69"/>
    </row>
    <row r="23" spans="2:11" x14ac:dyDescent="0.25">
      <c r="B23" s="5"/>
      <c r="C23" s="5"/>
      <c r="D23" s="5"/>
      <c r="E23" s="26"/>
      <c r="F23" s="5"/>
      <c r="G23" s="5"/>
      <c r="H23" s="5"/>
      <c r="I23" s="26"/>
      <c r="J23" s="5"/>
    </row>
    <row r="24" spans="2:11" x14ac:dyDescent="0.25">
      <c r="B24" s="5"/>
      <c r="C24" s="5"/>
      <c r="D24" s="5"/>
      <c r="E24" s="26"/>
      <c r="F24" s="5"/>
      <c r="G24" s="5"/>
      <c r="H24" s="5"/>
      <c r="I24" s="5"/>
      <c r="J24" s="5"/>
    </row>
    <row r="25" spans="2:11" x14ac:dyDescent="0.25">
      <c r="B25" s="5"/>
      <c r="C25" s="5"/>
      <c r="D25" s="5"/>
      <c r="E25" s="26"/>
      <c r="F25" s="5"/>
      <c r="G25" s="5"/>
      <c r="H25" s="5"/>
      <c r="I25" s="5"/>
      <c r="J25" s="5"/>
    </row>
    <row r="26" spans="2:11" x14ac:dyDescent="0.25">
      <c r="B26" s="5"/>
      <c r="C26" s="5"/>
      <c r="D26" s="5"/>
      <c r="E26" s="26"/>
      <c r="F26" s="5"/>
      <c r="G26" s="5"/>
      <c r="H26" s="5"/>
      <c r="I26" s="5"/>
      <c r="J26" s="5"/>
    </row>
    <row r="27" spans="2:11" x14ac:dyDescent="0.25">
      <c r="B27" s="5"/>
      <c r="C27" s="5"/>
      <c r="D27" s="5"/>
      <c r="E27" s="26"/>
      <c r="F27" s="5"/>
      <c r="G27" s="5"/>
      <c r="H27" s="5"/>
      <c r="I27" s="5"/>
      <c r="J27" s="5"/>
    </row>
    <row r="28" spans="2:11" x14ac:dyDescent="0.25">
      <c r="B28" s="5"/>
      <c r="C28" s="5"/>
      <c r="D28" s="5"/>
      <c r="E28" s="26"/>
      <c r="F28" s="5"/>
      <c r="G28" s="5"/>
      <c r="H28" s="5"/>
      <c r="I28" s="5"/>
      <c r="J28" s="5"/>
    </row>
    <row r="29" spans="2:11" x14ac:dyDescent="0.25">
      <c r="B29" s="5"/>
      <c r="C29" s="5"/>
      <c r="D29" s="5"/>
      <c r="E29" s="26"/>
      <c r="F29" s="5"/>
      <c r="G29" s="5"/>
      <c r="H29" s="5"/>
      <c r="I29" s="5"/>
      <c r="J29" s="5"/>
    </row>
    <row r="30" spans="2:11" x14ac:dyDescent="0.25">
      <c r="B30" s="5"/>
      <c r="C30" s="5"/>
      <c r="D30" s="5"/>
      <c r="E30" s="26"/>
      <c r="F30" s="5"/>
      <c r="G30" s="5"/>
      <c r="H30" s="5"/>
      <c r="I30" s="5"/>
      <c r="J30" s="5"/>
    </row>
    <row r="31" spans="2:11" x14ac:dyDescent="0.25">
      <c r="B31" s="5"/>
      <c r="C31" s="5"/>
      <c r="D31" s="5"/>
      <c r="E31" s="26"/>
      <c r="F31" s="5"/>
      <c r="G31" s="5"/>
      <c r="H31" s="5"/>
      <c r="I31" s="5"/>
      <c r="J31" s="5"/>
    </row>
    <row r="32" spans="2:11" x14ac:dyDescent="0.25">
      <c r="B32" s="5"/>
      <c r="C32" s="5"/>
      <c r="D32" s="5"/>
      <c r="E32" s="26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26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26"/>
      <c r="F34" s="5"/>
      <c r="G34" s="5"/>
      <c r="H34" s="5"/>
      <c r="I34" s="5"/>
      <c r="J34" s="5"/>
    </row>
    <row r="35" spans="2:10" x14ac:dyDescent="0.25">
      <c r="E35" s="26"/>
      <c r="F35" s="5"/>
    </row>
    <row r="36" spans="2:10" x14ac:dyDescent="0.25">
      <c r="E36" s="26"/>
      <c r="F36" s="5"/>
    </row>
    <row r="37" spans="2:10" x14ac:dyDescent="0.25">
      <c r="E37" s="26"/>
      <c r="F37" s="5"/>
    </row>
    <row r="38" spans="2:10" x14ac:dyDescent="0.25">
      <c r="E38" s="26"/>
      <c r="F38" s="5"/>
    </row>
    <row r="39" spans="2:10" x14ac:dyDescent="0.25">
      <c r="E39" s="26"/>
      <c r="F39" s="5"/>
    </row>
    <row r="40" spans="2:10" x14ac:dyDescent="0.25">
      <c r="E40" s="26"/>
      <c r="F40" s="5"/>
    </row>
    <row r="41" spans="2:10" x14ac:dyDescent="0.25">
      <c r="E41" s="26"/>
      <c r="F41" s="5"/>
    </row>
    <row r="42" spans="2:10" x14ac:dyDescent="0.25">
      <c r="E42" s="26"/>
      <c r="F42" s="5"/>
    </row>
    <row r="43" spans="2:10" x14ac:dyDescent="0.25">
      <c r="E43" s="26"/>
      <c r="F43" s="5"/>
    </row>
    <row r="44" spans="2:10" x14ac:dyDescent="0.25">
      <c r="E44" s="26"/>
      <c r="F44" s="5"/>
    </row>
    <row r="45" spans="2:10" x14ac:dyDescent="0.25">
      <c r="E45" s="26"/>
      <c r="F45" s="5"/>
    </row>
    <row r="46" spans="2:10" x14ac:dyDescent="0.25">
      <c r="E46" s="26"/>
      <c r="F46" s="5"/>
    </row>
    <row r="47" spans="2:10" x14ac:dyDescent="0.25">
      <c r="E47" s="26"/>
      <c r="F47" s="5"/>
    </row>
    <row r="48" spans="2:10" x14ac:dyDescent="0.25">
      <c r="E48" s="26"/>
      <c r="F48" s="5"/>
    </row>
    <row r="49" spans="2:9" ht="15.75" thickBot="1" x14ac:dyDescent="0.3">
      <c r="B49" s="38"/>
      <c r="C49" s="38" t="s">
        <v>42</v>
      </c>
      <c r="D49" s="38"/>
      <c r="E49" s="38"/>
      <c r="F49" s="39"/>
    </row>
    <row r="50" spans="2:9" s="19" customFormat="1" ht="75" x14ac:dyDescent="0.25">
      <c r="D50" s="31"/>
      <c r="E50" s="23"/>
      <c r="F50" s="24" t="s">
        <v>57</v>
      </c>
      <c r="G50" s="24" t="s">
        <v>44</v>
      </c>
      <c r="H50" s="24" t="s">
        <v>45</v>
      </c>
      <c r="I50" s="25" t="s">
        <v>46</v>
      </c>
    </row>
    <row r="51" spans="2:9" x14ac:dyDescent="0.25">
      <c r="C51" s="5"/>
      <c r="D51" s="47">
        <v>37987</v>
      </c>
      <c r="E51" s="51" t="s">
        <v>19</v>
      </c>
      <c r="F51" s="16">
        <v>0.29980000000000001</v>
      </c>
      <c r="G51" s="16">
        <v>0</v>
      </c>
      <c r="H51" s="16">
        <v>0</v>
      </c>
      <c r="I51" s="16">
        <v>0.29980000000000001</v>
      </c>
    </row>
    <row r="52" spans="2:9" x14ac:dyDescent="0.25">
      <c r="C52" s="5"/>
      <c r="D52" s="47">
        <v>38033</v>
      </c>
      <c r="E52" s="51" t="s">
        <v>22</v>
      </c>
      <c r="F52" s="16">
        <v>0.30830000000000002</v>
      </c>
      <c r="G52" s="16">
        <v>0</v>
      </c>
      <c r="H52" s="16">
        <v>0</v>
      </c>
      <c r="I52" s="16">
        <v>0.30830000000000002</v>
      </c>
    </row>
    <row r="53" spans="2:9" x14ac:dyDescent="0.25">
      <c r="C53" s="5"/>
      <c r="D53" s="47">
        <v>38513</v>
      </c>
      <c r="E53" s="51" t="s">
        <v>26</v>
      </c>
      <c r="F53" s="16">
        <v>0.31441000000000002</v>
      </c>
      <c r="G53" s="16">
        <v>0</v>
      </c>
      <c r="H53" s="16">
        <v>0</v>
      </c>
      <c r="I53" s="16">
        <v>0.31441000000000002</v>
      </c>
    </row>
    <row r="54" spans="2:9" x14ac:dyDescent="0.25">
      <c r="C54" s="5"/>
      <c r="D54" s="47">
        <v>38736</v>
      </c>
      <c r="E54" s="51" t="s">
        <v>30</v>
      </c>
      <c r="F54" s="16">
        <v>0.33940999999999999</v>
      </c>
      <c r="G54" s="16">
        <v>0</v>
      </c>
      <c r="H54" s="16">
        <v>0</v>
      </c>
      <c r="I54" s="16">
        <v>0.33940999999999999</v>
      </c>
    </row>
    <row r="55" spans="2:9" x14ac:dyDescent="0.25">
      <c r="C55" s="5"/>
      <c r="D55" s="47">
        <v>39090</v>
      </c>
      <c r="E55" s="63" t="s">
        <v>58</v>
      </c>
      <c r="F55" s="16">
        <v>0.36441000000000001</v>
      </c>
      <c r="G55" s="16">
        <v>0</v>
      </c>
      <c r="H55" s="16">
        <v>0</v>
      </c>
      <c r="I55" s="16">
        <v>0.36441000000000001</v>
      </c>
    </row>
    <row r="56" spans="2:9" x14ac:dyDescent="0.25">
      <c r="C56" s="13"/>
      <c r="D56" s="47">
        <v>39326</v>
      </c>
      <c r="E56" s="47" t="s">
        <v>48</v>
      </c>
      <c r="F56" s="16">
        <v>0.27840999999999999</v>
      </c>
      <c r="G56" s="16">
        <v>8.5999999999999993E-2</v>
      </c>
      <c r="H56" s="16">
        <v>0</v>
      </c>
      <c r="I56" s="16">
        <v>0.36441000000000001</v>
      </c>
    </row>
    <row r="57" spans="2:9" x14ac:dyDescent="0.25">
      <c r="C57" s="13"/>
      <c r="D57" s="47">
        <v>40909</v>
      </c>
      <c r="E57" s="51" t="s">
        <v>23</v>
      </c>
      <c r="F57" s="16">
        <v>0.27840999999999999</v>
      </c>
      <c r="G57" s="16">
        <v>8.7980000000000003E-2</v>
      </c>
      <c r="H57" s="16">
        <v>0</v>
      </c>
      <c r="I57" s="16">
        <v>0.36638999999999999</v>
      </c>
    </row>
    <row r="58" spans="2:9" x14ac:dyDescent="0.25">
      <c r="C58" s="5"/>
      <c r="D58" s="47">
        <v>41275</v>
      </c>
      <c r="E58" s="51" t="s">
        <v>27</v>
      </c>
      <c r="F58" s="16">
        <v>0.27840999999999999</v>
      </c>
      <c r="G58" s="16">
        <v>8.9120000000000005E-2</v>
      </c>
      <c r="H58" s="16">
        <v>0</v>
      </c>
      <c r="I58" s="16">
        <v>0.36753000000000002</v>
      </c>
    </row>
    <row r="59" spans="2:9" x14ac:dyDescent="0.25">
      <c r="C59" s="5"/>
      <c r="D59" s="47">
        <v>41640</v>
      </c>
      <c r="E59" s="51" t="s">
        <v>31</v>
      </c>
      <c r="F59" s="16">
        <v>0.27840999999999999</v>
      </c>
      <c r="G59" s="16">
        <v>9.0999999999999998E-2</v>
      </c>
      <c r="H59" s="16">
        <v>0</v>
      </c>
      <c r="I59" s="16">
        <v>0.36941000000000002</v>
      </c>
    </row>
    <row r="60" spans="2:9" x14ac:dyDescent="0.25">
      <c r="C60" s="5"/>
      <c r="D60" s="47">
        <v>42005</v>
      </c>
      <c r="E60" s="51" t="s">
        <v>20</v>
      </c>
      <c r="F60" s="16">
        <v>0.27840999999999999</v>
      </c>
      <c r="G60" s="16">
        <v>0.111</v>
      </c>
      <c r="H60" s="16">
        <v>1.26E-2</v>
      </c>
      <c r="I60" s="16">
        <v>0.40200999999999998</v>
      </c>
    </row>
    <row r="61" spans="2:9" x14ac:dyDescent="0.25">
      <c r="B61" s="29"/>
      <c r="D61" s="47">
        <v>42370</v>
      </c>
      <c r="E61" s="51" t="s">
        <v>49</v>
      </c>
      <c r="F61" s="16">
        <v>0.27840999999999999</v>
      </c>
      <c r="G61" s="16">
        <v>0.111</v>
      </c>
      <c r="H61" s="16">
        <v>1.651E-2</v>
      </c>
      <c r="I61" s="16">
        <v>0.40592</v>
      </c>
    </row>
    <row r="62" spans="2:9" x14ac:dyDescent="0.25">
      <c r="B62" s="29"/>
      <c r="D62" s="47">
        <v>42412</v>
      </c>
      <c r="E62" s="51" t="s">
        <v>34</v>
      </c>
      <c r="F62" s="16">
        <v>0.33840999999999999</v>
      </c>
      <c r="G62" s="16">
        <v>0.111</v>
      </c>
      <c r="H62" s="16">
        <v>1.651E-2</v>
      </c>
      <c r="I62" s="16">
        <v>0.46592</v>
      </c>
    </row>
    <row r="63" spans="2:9" x14ac:dyDescent="0.25">
      <c r="C63" s="30"/>
      <c r="D63" s="47">
        <v>42502</v>
      </c>
      <c r="E63" s="51" t="s">
        <v>59</v>
      </c>
      <c r="F63" s="16">
        <v>0.32840999999999998</v>
      </c>
      <c r="G63" s="16">
        <v>0.111</v>
      </c>
      <c r="H63" s="16">
        <v>1.651E-2</v>
      </c>
      <c r="I63" s="16">
        <v>0.45591999999999999</v>
      </c>
    </row>
    <row r="64" spans="2:9" x14ac:dyDescent="0.25">
      <c r="C64" s="30"/>
      <c r="D64" s="47">
        <v>42691</v>
      </c>
      <c r="E64" s="47" t="s">
        <v>60</v>
      </c>
      <c r="F64" s="16">
        <v>0.31841000000000003</v>
      </c>
      <c r="G64" s="16">
        <v>0.111</v>
      </c>
      <c r="H64" s="16">
        <v>1.651E-2</v>
      </c>
      <c r="I64" s="16">
        <v>0.44592000000000004</v>
      </c>
    </row>
    <row r="65" spans="3:9" x14ac:dyDescent="0.25">
      <c r="C65" s="30"/>
      <c r="D65" s="47">
        <v>42736</v>
      </c>
      <c r="E65" s="51" t="s">
        <v>36</v>
      </c>
      <c r="F65" s="16">
        <v>0.33840999999999999</v>
      </c>
      <c r="G65" s="16">
        <v>0.111</v>
      </c>
      <c r="H65" s="16">
        <v>1.695E-2</v>
      </c>
      <c r="I65" s="16">
        <v>0.46636</v>
      </c>
    </row>
    <row r="66" spans="3:9" x14ac:dyDescent="0.25">
      <c r="D66" s="47">
        <v>43101</v>
      </c>
      <c r="E66" s="47" t="s">
        <v>50</v>
      </c>
      <c r="F66" s="16">
        <v>0.34315000000000001</v>
      </c>
      <c r="G66" s="16">
        <v>0.111</v>
      </c>
      <c r="H66" s="16">
        <v>1.695E-2</v>
      </c>
      <c r="I66" s="16">
        <v>0.47110000000000002</v>
      </c>
    </row>
    <row r="67" spans="3:9" x14ac:dyDescent="0.25">
      <c r="D67" s="47">
        <v>43466</v>
      </c>
      <c r="E67" s="51" t="s">
        <v>37</v>
      </c>
      <c r="F67" s="16">
        <v>0.34315000000000001</v>
      </c>
      <c r="G67" s="16">
        <v>0.111</v>
      </c>
      <c r="H67" s="16">
        <v>3.1530000000000002E-2</v>
      </c>
      <c r="I67" s="16">
        <v>0.48568</v>
      </c>
    </row>
    <row r="68" spans="3:9" x14ac:dyDescent="0.25">
      <c r="D68" s="50" t="s">
        <v>51</v>
      </c>
      <c r="E68" s="50">
        <v>2020</v>
      </c>
      <c r="F68" s="16">
        <v>0.34315000000000001</v>
      </c>
      <c r="G68" s="16">
        <v>0.111</v>
      </c>
      <c r="H68" s="16">
        <v>5.8450000000000002E-2</v>
      </c>
      <c r="I68" s="16">
        <v>0.51259999999999994</v>
      </c>
    </row>
    <row r="69" spans="3:9" x14ac:dyDescent="0.25">
      <c r="D69" s="47">
        <v>44197</v>
      </c>
      <c r="E69" s="51" t="s">
        <v>52</v>
      </c>
      <c r="F69" s="16">
        <v>0.34315000000000001</v>
      </c>
      <c r="G69" s="16">
        <v>0.111</v>
      </c>
      <c r="H69" s="16">
        <v>5.9200000000000003E-2</v>
      </c>
      <c r="I69" s="16">
        <v>0.51334999999999997</v>
      </c>
    </row>
    <row r="70" spans="3:9" x14ac:dyDescent="0.25">
      <c r="D70" s="47">
        <v>44485</v>
      </c>
      <c r="E70" s="51" t="s">
        <v>38</v>
      </c>
      <c r="F70" s="16">
        <v>0.33315</v>
      </c>
      <c r="G70" s="16">
        <v>0.111</v>
      </c>
      <c r="H70" s="16">
        <v>5.9200000000000003E-2</v>
      </c>
      <c r="I70" s="16">
        <v>0.50334999999999996</v>
      </c>
    </row>
    <row r="71" spans="3:9" x14ac:dyDescent="0.25">
      <c r="D71" s="47">
        <v>44634</v>
      </c>
      <c r="E71" s="51" t="s">
        <v>55</v>
      </c>
      <c r="F71" s="16">
        <v>0.30882999999999999</v>
      </c>
      <c r="G71" s="16">
        <v>0.111</v>
      </c>
      <c r="H71" s="16">
        <v>5.9200000000000003E-2</v>
      </c>
      <c r="I71" s="16">
        <v>0.47902999999999996</v>
      </c>
    </row>
    <row r="72" spans="3:9" x14ac:dyDescent="0.25">
      <c r="D72" s="47">
        <v>44648</v>
      </c>
      <c r="E72" s="51" t="s">
        <v>56</v>
      </c>
      <c r="F72" s="16">
        <v>0.29598000000000002</v>
      </c>
      <c r="G72" s="16">
        <v>0.111</v>
      </c>
      <c r="H72" s="16">
        <v>5.9200000000000003E-2</v>
      </c>
      <c r="I72" s="16">
        <v>0.46618000000000004</v>
      </c>
    </row>
    <row r="73" spans="3:9" x14ac:dyDescent="0.25">
      <c r="D73" s="47" t="s">
        <v>115</v>
      </c>
      <c r="E73" s="47" t="s">
        <v>115</v>
      </c>
      <c r="F73" s="16">
        <v>0.18057999999999999</v>
      </c>
      <c r="G73" s="16">
        <v>0.111</v>
      </c>
      <c r="H73" s="16">
        <v>5.9200000000000003E-2</v>
      </c>
      <c r="I73" s="16">
        <v>0.35077999999999998</v>
      </c>
    </row>
    <row r="74" spans="3:9" x14ac:dyDescent="0.25">
      <c r="D74" s="47" t="s">
        <v>116</v>
      </c>
      <c r="E74" s="47" t="s">
        <v>116</v>
      </c>
      <c r="F74" s="16">
        <v>0.16836999999999999</v>
      </c>
      <c r="G74" s="16">
        <v>0.111</v>
      </c>
      <c r="H74" s="16">
        <v>5.9200000000000003E-2</v>
      </c>
      <c r="I74" s="16">
        <v>0.33857000000000004</v>
      </c>
    </row>
    <row r="75" spans="3:9" x14ac:dyDescent="0.25">
      <c r="D75" s="47" t="s">
        <v>119</v>
      </c>
      <c r="E75" s="47" t="s">
        <v>119</v>
      </c>
      <c r="F75" s="16">
        <v>0.16583999999999999</v>
      </c>
      <c r="G75" s="16">
        <v>0.111</v>
      </c>
      <c r="H75" s="16">
        <v>5.9200000000000003E-2</v>
      </c>
      <c r="I75" s="16">
        <v>0.33604000000000001</v>
      </c>
    </row>
    <row r="76" spans="3:9" x14ac:dyDescent="0.25">
      <c r="D76" s="47" t="s">
        <v>124</v>
      </c>
      <c r="E76" s="47" t="s">
        <v>124</v>
      </c>
      <c r="F76" s="16">
        <v>0.1628</v>
      </c>
      <c r="G76" s="16">
        <v>0.111</v>
      </c>
      <c r="H76" s="16">
        <v>5.9200000000000003E-2</v>
      </c>
      <c r="I76" s="16">
        <v>0.33299999999999996</v>
      </c>
    </row>
    <row r="77" spans="3:9" x14ac:dyDescent="0.25">
      <c r="D77" s="47" t="s">
        <v>123</v>
      </c>
      <c r="E77" s="47" t="s">
        <v>123</v>
      </c>
      <c r="F77" s="16">
        <v>0.16347999999999999</v>
      </c>
      <c r="G77" s="16">
        <v>0.111</v>
      </c>
      <c r="H77" s="16">
        <v>5.9200000000000003E-2</v>
      </c>
      <c r="I77" s="16">
        <v>0.33367999999999998</v>
      </c>
    </row>
    <row r="78" spans="3:9" x14ac:dyDescent="0.25">
      <c r="D78" s="47" t="s">
        <v>125</v>
      </c>
      <c r="E78" s="47" t="s">
        <v>125</v>
      </c>
      <c r="F78" s="16">
        <v>0.13259000000000001</v>
      </c>
      <c r="G78" s="16">
        <v>0.111</v>
      </c>
      <c r="H78" s="16">
        <v>5.9200000000000003E-2</v>
      </c>
      <c r="I78" s="16">
        <v>0.30279</v>
      </c>
    </row>
    <row r="79" spans="3:9" x14ac:dyDescent="0.25">
      <c r="D79" s="47" t="s">
        <v>126</v>
      </c>
      <c r="E79" s="47" t="s">
        <v>126</v>
      </c>
      <c r="F79" s="16">
        <v>0.17196</v>
      </c>
      <c r="G79" s="16">
        <v>0.111</v>
      </c>
      <c r="H79" s="16">
        <v>5.9200000000000003E-2</v>
      </c>
      <c r="I79" s="16">
        <v>0.34216000000000002</v>
      </c>
    </row>
    <row r="80" spans="3:9" x14ac:dyDescent="0.25">
      <c r="D80" s="47" t="s">
        <v>129</v>
      </c>
      <c r="E80" s="47" t="s">
        <v>129</v>
      </c>
      <c r="F80" s="16">
        <v>0.29598000000000002</v>
      </c>
      <c r="G80" s="16">
        <v>0</v>
      </c>
      <c r="H80" s="16">
        <v>5.9200000000000003E-2</v>
      </c>
      <c r="I80" s="16">
        <v>0.35518000000000005</v>
      </c>
    </row>
    <row r="81" spans="4:9" x14ac:dyDescent="0.25">
      <c r="D81" s="47" t="s">
        <v>130</v>
      </c>
      <c r="E81" s="47" t="s">
        <v>130</v>
      </c>
      <c r="F81" s="16">
        <v>0.31147000000000002</v>
      </c>
      <c r="G81" s="16">
        <v>0</v>
      </c>
      <c r="H81" s="16">
        <v>5.9200000000000003E-2</v>
      </c>
      <c r="I81" s="16">
        <v>0.37067000000000005</v>
      </c>
    </row>
    <row r="82" spans="4:9" x14ac:dyDescent="0.25">
      <c r="D82" s="47" t="s">
        <v>132</v>
      </c>
      <c r="E82" s="47" t="s">
        <v>132</v>
      </c>
      <c r="F82" s="16">
        <v>0.32146999999999998</v>
      </c>
      <c r="G82" s="16">
        <v>0</v>
      </c>
      <c r="H82" s="16">
        <v>5.9200000000000003E-2</v>
      </c>
      <c r="I82" s="16">
        <v>0.38066999999999995</v>
      </c>
    </row>
    <row r="83" spans="4:9" x14ac:dyDescent="0.25">
      <c r="D83" s="47" t="s">
        <v>133</v>
      </c>
      <c r="E83" s="47" t="s">
        <v>133</v>
      </c>
      <c r="F83" s="16">
        <v>0.32353999999999999</v>
      </c>
      <c r="G83" s="16">
        <v>0</v>
      </c>
      <c r="H83" s="16">
        <v>7.9200000000000007E-2</v>
      </c>
      <c r="I83" s="16">
        <v>0.40273999999999999</v>
      </c>
    </row>
    <row r="84" spans="4:9" x14ac:dyDescent="0.25">
      <c r="D84" s="47" t="s">
        <v>136</v>
      </c>
      <c r="E84" s="47" t="s">
        <v>136</v>
      </c>
      <c r="F84" s="16">
        <v>0.32353999999999999</v>
      </c>
      <c r="G84" s="16">
        <v>0</v>
      </c>
      <c r="H84" s="16">
        <v>9.9202368407999994E-2</v>
      </c>
      <c r="I84" s="16">
        <v>0.422742368408</v>
      </c>
    </row>
    <row r="85" spans="4:9" x14ac:dyDescent="0.25">
      <c r="D85" s="47" t="s">
        <v>141</v>
      </c>
      <c r="E85" s="47" t="s">
        <v>141</v>
      </c>
      <c r="F85" s="16">
        <v>0.32353999999999999</v>
      </c>
      <c r="G85" s="16">
        <v>0</v>
      </c>
      <c r="H85" s="16">
        <v>0.11920172822999998</v>
      </c>
      <c r="I85" s="16">
        <v>0.44274172822999996</v>
      </c>
    </row>
    <row r="86" spans="4:9" x14ac:dyDescent="0.25">
      <c r="D86" s="47" t="s">
        <v>144</v>
      </c>
      <c r="E86" s="47" t="s">
        <v>144</v>
      </c>
      <c r="F86" s="16">
        <v>0.32353999999999999</v>
      </c>
      <c r="G86" s="16">
        <v>0</v>
      </c>
      <c r="H86" s="16">
        <v>0.13920108805199999</v>
      </c>
      <c r="I86" s="16">
        <v>0.46274108805199998</v>
      </c>
    </row>
    <row r="87" spans="4:9" x14ac:dyDescent="0.25">
      <c r="D87" s="47" t="s">
        <v>147</v>
      </c>
      <c r="E87" s="47" t="s">
        <v>147</v>
      </c>
      <c r="F87" s="16">
        <v>0.30353999999999998</v>
      </c>
      <c r="G87" s="16">
        <v>0</v>
      </c>
      <c r="H87" s="16">
        <v>0.13920108805199999</v>
      </c>
      <c r="I87" s="16">
        <v>0.44274108805199996</v>
      </c>
    </row>
    <row r="88" spans="4:9" x14ac:dyDescent="0.25">
      <c r="D88" s="51" t="s">
        <v>149</v>
      </c>
      <c r="E88" s="51" t="s">
        <v>149</v>
      </c>
      <c r="F88" s="16">
        <v>0.30353999999999998</v>
      </c>
      <c r="G88" s="16">
        <v>0</v>
      </c>
      <c r="H88" s="16">
        <v>0.16919999999999999</v>
      </c>
      <c r="I88" s="16">
        <v>0.47273999999999994</v>
      </c>
    </row>
    <row r="89" spans="4:9" x14ac:dyDescent="0.25">
      <c r="D89" s="51" t="s">
        <v>150</v>
      </c>
      <c r="E89" s="51" t="s">
        <v>150</v>
      </c>
      <c r="F89" s="16">
        <v>0.30353999999999998</v>
      </c>
      <c r="G89" s="16">
        <v>0</v>
      </c>
      <c r="H89" s="16">
        <v>0.18420150379800002</v>
      </c>
      <c r="I89" s="16">
        <v>0.48774150379799996</v>
      </c>
    </row>
    <row r="90" spans="4:9" x14ac:dyDescent="0.25">
      <c r="D90" s="47" t="s">
        <v>151</v>
      </c>
      <c r="E90" s="47" t="s">
        <v>151</v>
      </c>
      <c r="F90" s="16">
        <v>0.30353999999999998</v>
      </c>
      <c r="G90" s="16">
        <v>0</v>
      </c>
      <c r="H90" s="16">
        <v>0.20046382199999999</v>
      </c>
      <c r="I90" s="16">
        <v>0.50400382199999993</v>
      </c>
    </row>
    <row r="91" spans="4:9" x14ac:dyDescent="0.25">
      <c r="D91" s="47">
        <v>45658</v>
      </c>
      <c r="E91" s="47">
        <v>45658</v>
      </c>
      <c r="F91" s="16">
        <v>0.33721000000000001</v>
      </c>
      <c r="G91" s="16">
        <v>0</v>
      </c>
      <c r="H91" s="16">
        <v>0.16679332449000001</v>
      </c>
      <c r="I91" s="16">
        <v>0.50400332448999996</v>
      </c>
    </row>
    <row r="92" spans="4:9" x14ac:dyDescent="0.25">
      <c r="D92" s="47">
        <v>45992</v>
      </c>
      <c r="E92" s="47">
        <v>45992</v>
      </c>
      <c r="F92" s="16">
        <v>0.36159999999999998</v>
      </c>
      <c r="G92" s="16">
        <v>0</v>
      </c>
      <c r="H92" s="16">
        <v>0.16679332449000001</v>
      </c>
      <c r="I92" s="16">
        <v>0.52839332448999998</v>
      </c>
    </row>
    <row r="93" spans="4:9" x14ac:dyDescent="0.25">
      <c r="D93" s="47">
        <v>46090</v>
      </c>
      <c r="E93" s="47">
        <v>46090</v>
      </c>
      <c r="F93" s="16">
        <v>0.32607000000000003</v>
      </c>
      <c r="G93" s="16">
        <v>0</v>
      </c>
      <c r="H93" s="16">
        <v>0.17334060000000001</v>
      </c>
      <c r="I93" s="16">
        <v>0.49941060000000004</v>
      </c>
    </row>
    <row r="94" spans="4:9" x14ac:dyDescent="0.25">
      <c r="D94" s="47">
        <v>46097</v>
      </c>
      <c r="E94" s="47">
        <v>46097</v>
      </c>
      <c r="F94" s="16">
        <v>0.31163000000000002</v>
      </c>
      <c r="G94" s="16">
        <v>0</v>
      </c>
      <c r="H94" s="16">
        <v>0.17334060000000001</v>
      </c>
      <c r="I94" s="16">
        <v>0.48497060000000003</v>
      </c>
    </row>
    <row r="95" spans="4:9" x14ac:dyDescent="0.25">
      <c r="D95" s="47">
        <v>46104</v>
      </c>
      <c r="E95" s="47">
        <v>46104</v>
      </c>
      <c r="F95" s="16">
        <v>0.28537000000000001</v>
      </c>
      <c r="G95" s="16">
        <v>0</v>
      </c>
      <c r="H95" s="16">
        <v>0.17334060000000001</v>
      </c>
      <c r="I95" s="16">
        <f>SUM(F95:H95)</f>
        <v>0.45871060000000002</v>
      </c>
    </row>
    <row r="96" spans="4:9" x14ac:dyDescent="0.25">
      <c r="D96" s="47">
        <v>46118</v>
      </c>
      <c r="E96" s="47">
        <v>46118</v>
      </c>
      <c r="F96" s="16">
        <v>0.27816999999999997</v>
      </c>
      <c r="G96" s="16">
        <v>0</v>
      </c>
      <c r="H96" s="16">
        <v>0.17334060000000001</v>
      </c>
      <c r="I96" s="16">
        <f t="shared" ref="I96:I105" si="0">SUM(F96:H96)</f>
        <v>0.45151059999999998</v>
      </c>
    </row>
    <row r="97" spans="4:9" x14ac:dyDescent="0.25">
      <c r="D97" s="47">
        <v>46132</v>
      </c>
      <c r="E97" s="47">
        <v>46132</v>
      </c>
      <c r="F97" s="51">
        <v>0.29321000000000003</v>
      </c>
      <c r="G97" s="16">
        <v>0</v>
      </c>
      <c r="H97" s="16">
        <v>0.17334060000000001</v>
      </c>
      <c r="I97" s="16">
        <f t="shared" si="0"/>
        <v>0.46655060000000004</v>
      </c>
    </row>
    <row r="98" spans="4:9" x14ac:dyDescent="0.25">
      <c r="D98" s="47">
        <v>46139</v>
      </c>
      <c r="E98" s="47">
        <v>46139</v>
      </c>
      <c r="F98" s="51">
        <v>0.30159000000000002</v>
      </c>
      <c r="G98" s="16">
        <v>0</v>
      </c>
      <c r="H98" s="16">
        <v>0.17334060000000001</v>
      </c>
      <c r="I98" s="16">
        <f t="shared" si="0"/>
        <v>0.47493060000000004</v>
      </c>
    </row>
    <row r="99" spans="4:9" x14ac:dyDescent="0.25">
      <c r="D99" s="47">
        <v>46146</v>
      </c>
      <c r="E99" s="47">
        <v>46146</v>
      </c>
      <c r="F99" s="51">
        <v>0.28611999999999999</v>
      </c>
      <c r="G99" s="16">
        <v>0</v>
      </c>
      <c r="H99" s="16">
        <v>0.17334060000000001</v>
      </c>
      <c r="I99" s="16">
        <f t="shared" si="0"/>
        <v>0.4594606</v>
      </c>
    </row>
    <row r="100" spans="4:9" x14ac:dyDescent="0.25">
      <c r="D100" s="47">
        <v>46153</v>
      </c>
      <c r="E100" s="47">
        <v>46153</v>
      </c>
      <c r="F100" s="51">
        <v>0.30081999999999998</v>
      </c>
      <c r="G100" s="16">
        <v>0</v>
      </c>
      <c r="H100" s="16">
        <v>0.17334060000000001</v>
      </c>
      <c r="I100" s="16">
        <f t="shared" si="0"/>
        <v>0.47416059999999999</v>
      </c>
    </row>
    <row r="101" spans="4:9" x14ac:dyDescent="0.25">
      <c r="D101" s="47">
        <v>46160</v>
      </c>
      <c r="E101" s="47">
        <v>46160</v>
      </c>
      <c r="F101" s="51">
        <v>0.30109000000000002</v>
      </c>
      <c r="G101" s="16">
        <v>0</v>
      </c>
      <c r="H101" s="16">
        <v>0.17334060000000001</v>
      </c>
      <c r="I101" s="16">
        <f t="shared" si="0"/>
        <v>0.47443060000000004</v>
      </c>
    </row>
    <row r="102" spans="4:9" x14ac:dyDescent="0.25">
      <c r="D102" s="47">
        <v>46167</v>
      </c>
      <c r="E102" s="47">
        <v>46167</v>
      </c>
      <c r="F102" s="51">
        <v>0.29804000000000003</v>
      </c>
      <c r="G102" s="16">
        <v>0</v>
      </c>
      <c r="H102" s="16">
        <v>0.17334060000000001</v>
      </c>
      <c r="I102" s="16">
        <f t="shared" si="0"/>
        <v>0.47138060000000004</v>
      </c>
    </row>
    <row r="103" spans="4:9" x14ac:dyDescent="0.25">
      <c r="D103" s="47">
        <v>46174</v>
      </c>
      <c r="E103" s="47">
        <v>46174</v>
      </c>
      <c r="F103" s="51">
        <v>0.31718000000000002</v>
      </c>
      <c r="G103" s="16">
        <v>0</v>
      </c>
      <c r="H103" s="16">
        <v>0.17334060000000001</v>
      </c>
      <c r="I103" s="16">
        <f t="shared" si="0"/>
        <v>0.49052060000000003</v>
      </c>
    </row>
    <row r="104" spans="4:9" x14ac:dyDescent="0.25">
      <c r="D104" s="47">
        <v>46181</v>
      </c>
      <c r="E104" s="47">
        <v>46181</v>
      </c>
      <c r="F104" s="51">
        <v>0.31014999999999998</v>
      </c>
      <c r="G104" s="16">
        <v>0</v>
      </c>
      <c r="H104" s="16">
        <v>0.17334060000000001</v>
      </c>
      <c r="I104" s="16">
        <f t="shared" si="0"/>
        <v>0.48349059999999999</v>
      </c>
    </row>
    <row r="105" spans="4:9" x14ac:dyDescent="0.25">
      <c r="D105" s="47">
        <v>46188</v>
      </c>
      <c r="E105" s="47">
        <v>46188</v>
      </c>
      <c r="F105" s="51">
        <v>0.31818999999999997</v>
      </c>
      <c r="G105" s="16">
        <v>0</v>
      </c>
      <c r="H105" s="16">
        <v>0.17334060000000001</v>
      </c>
      <c r="I105" s="16">
        <f t="shared" si="0"/>
        <v>0.49153059999999998</v>
      </c>
    </row>
    <row r="106" spans="4:9" x14ac:dyDescent="0.25">
      <c r="D106" s="47">
        <v>46195</v>
      </c>
      <c r="E106" s="47">
        <v>46195</v>
      </c>
      <c r="F106" s="51">
        <v>0.33673999999999998</v>
      </c>
      <c r="G106" s="16">
        <v>0</v>
      </c>
      <c r="H106" s="16">
        <v>0.17334060000000001</v>
      </c>
      <c r="I106" s="16">
        <f t="shared" ref="I106" si="1">SUM(F106:H106)</f>
        <v>0.5100806</v>
      </c>
    </row>
    <row r="107" spans="4:9" x14ac:dyDescent="0.25">
      <c r="D107" s="47">
        <v>46209</v>
      </c>
      <c r="E107" s="47">
        <v>46209</v>
      </c>
      <c r="F107" s="51">
        <v>0.33126</v>
      </c>
      <c r="G107" s="16">
        <v>0</v>
      </c>
      <c r="H107" s="16">
        <v>0.17334060000000001</v>
      </c>
      <c r="I107" s="16">
        <f t="shared" ref="I107" si="2">SUM(F107:H107)</f>
        <v>0.50460060000000007</v>
      </c>
    </row>
    <row r="108" spans="4:9" x14ac:dyDescent="0.25">
      <c r="D108" s="47">
        <v>46216</v>
      </c>
      <c r="E108" s="47">
        <v>46216</v>
      </c>
      <c r="F108" s="51">
        <v>0.31924999999999998</v>
      </c>
      <c r="G108" s="16">
        <v>0</v>
      </c>
      <c r="H108" s="16">
        <v>0.17334060000000001</v>
      </c>
      <c r="I108" s="16">
        <f t="shared" ref="I108" si="3">SUM(F108:H108)</f>
        <v>0.49259059999999999</v>
      </c>
    </row>
    <row r="109" spans="4:9" x14ac:dyDescent="0.25">
      <c r="D109" s="47">
        <v>46223</v>
      </c>
      <c r="E109" s="47">
        <v>46223</v>
      </c>
      <c r="F109" s="51">
        <v>0.30147000000000002</v>
      </c>
      <c r="G109" s="16">
        <v>0</v>
      </c>
      <c r="H109" s="16">
        <v>0.17334060000000001</v>
      </c>
      <c r="I109" s="16">
        <f t="shared" ref="I109" si="4">SUM(F109:H109)</f>
        <v>0.47481060000000003</v>
      </c>
    </row>
    <row r="110" spans="4:9" x14ac:dyDescent="0.25">
      <c r="D110" s="47">
        <v>46230</v>
      </c>
      <c r="E110" s="47">
        <v>46230</v>
      </c>
      <c r="F110" s="51">
        <v>0.28634999999999999</v>
      </c>
      <c r="G110" s="16">
        <v>0</v>
      </c>
      <c r="H110" s="16">
        <v>0.17334060000000001</v>
      </c>
      <c r="I110" s="16">
        <f t="shared" ref="I110:I111" si="5">SUM(F110:H110)</f>
        <v>0.4596906</v>
      </c>
    </row>
    <row r="111" spans="4:9" x14ac:dyDescent="0.25">
      <c r="D111" s="47">
        <v>46237</v>
      </c>
      <c r="E111" s="47">
        <v>46237</v>
      </c>
      <c r="F111" s="51">
        <v>0.28283999999999998</v>
      </c>
      <c r="G111" s="16">
        <v>0</v>
      </c>
      <c r="H111" s="16">
        <v>0.17334060000000001</v>
      </c>
      <c r="I111" s="16">
        <f t="shared" si="5"/>
        <v>0.45618059999999999</v>
      </c>
    </row>
    <row r="112" spans="4:9" x14ac:dyDescent="0.25">
      <c r="D112" s="47">
        <v>46244</v>
      </c>
      <c r="E112" s="47">
        <v>46244</v>
      </c>
      <c r="F112" s="51">
        <v>0.30243999999999999</v>
      </c>
      <c r="G112" s="16">
        <v>0</v>
      </c>
      <c r="H112" s="16">
        <v>0.17334060000000001</v>
      </c>
      <c r="I112" s="16">
        <f t="shared" ref="I112" si="6">SUM(F112:H112)</f>
        <v>0.4757806</v>
      </c>
    </row>
    <row r="113" spans="4:9" x14ac:dyDescent="0.25">
      <c r="D113" s="47">
        <v>46251</v>
      </c>
      <c r="E113" s="47">
        <v>46251</v>
      </c>
      <c r="F113" s="51">
        <v>0.28108</v>
      </c>
      <c r="G113" s="16">
        <v>0</v>
      </c>
      <c r="H113" s="16">
        <v>0.17334060000000001</v>
      </c>
      <c r="I113" s="16">
        <f t="shared" ref="I113" si="7">SUM(F113:H113)</f>
        <v>0.45442060000000001</v>
      </c>
    </row>
    <row r="114" spans="4:9" x14ac:dyDescent="0.25">
      <c r="D114" s="47">
        <v>46258</v>
      </c>
      <c r="E114" s="47">
        <v>46258</v>
      </c>
      <c r="F114" s="51">
        <v>0.27999000000000002</v>
      </c>
      <c r="G114" s="16">
        <v>0</v>
      </c>
      <c r="H114" s="16">
        <v>0.17334060000000001</v>
      </c>
      <c r="I114" s="16">
        <f t="shared" ref="I114" si="8">SUM(F114:H114)</f>
        <v>0.45333060000000003</v>
      </c>
    </row>
    <row r="115" spans="4:9" x14ac:dyDescent="0.25">
      <c r="D115" s="47">
        <v>46265</v>
      </c>
      <c r="E115" s="47">
        <v>46265</v>
      </c>
      <c r="F115" s="51">
        <v>0.28997000000000001</v>
      </c>
      <c r="G115" s="16">
        <v>0</v>
      </c>
      <c r="H115" s="16">
        <v>0.17334060000000001</v>
      </c>
      <c r="I115" s="16">
        <f t="shared" ref="I115" si="9">SUM(F115:H115)</f>
        <v>0.46331060000000002</v>
      </c>
    </row>
    <row r="116" spans="4:9" x14ac:dyDescent="0.25">
      <c r="D116" s="47">
        <v>46272</v>
      </c>
      <c r="E116" s="47">
        <v>46272</v>
      </c>
      <c r="F116" s="51">
        <v>0.26511000000000001</v>
      </c>
      <c r="G116" s="16">
        <v>0</v>
      </c>
      <c r="H116" s="16">
        <v>0.17334060000000001</v>
      </c>
      <c r="I116" s="16">
        <f t="shared" ref="I116" si="10">SUM(F116:H116)</f>
        <v>0.43845060000000002</v>
      </c>
    </row>
    <row r="117" spans="4:9" x14ac:dyDescent="0.25">
      <c r="D117" s="47">
        <v>46279</v>
      </c>
      <c r="E117" s="47">
        <v>46279</v>
      </c>
      <c r="F117" s="51">
        <v>0.26401999999999998</v>
      </c>
      <c r="G117" s="16">
        <v>0</v>
      </c>
      <c r="H117" s="16">
        <v>0.17334060000000001</v>
      </c>
      <c r="I117" s="16">
        <f t="shared" ref="I117" si="11">SUM(F117:H117)</f>
        <v>0.43736059999999999</v>
      </c>
    </row>
    <row r="118" spans="4:9" x14ac:dyDescent="0.25">
      <c r="D118" s="47">
        <v>46286</v>
      </c>
      <c r="E118" s="47">
        <v>46286</v>
      </c>
      <c r="F118" s="51">
        <v>0.25278</v>
      </c>
      <c r="G118" s="16">
        <v>0</v>
      </c>
      <c r="H118" s="16">
        <v>0.17334060000000001</v>
      </c>
      <c r="I118" s="16">
        <f t="shared" ref="I118:I120" si="12">SUM(F118:H118)</f>
        <v>0.42612060000000002</v>
      </c>
    </row>
    <row r="119" spans="4:9" x14ac:dyDescent="0.25">
      <c r="D119" s="47">
        <v>46293</v>
      </c>
      <c r="E119" s="47">
        <v>46293</v>
      </c>
      <c r="F119" s="51">
        <v>0.26130999999999999</v>
      </c>
      <c r="G119" s="16">
        <v>0</v>
      </c>
      <c r="H119" s="16">
        <v>0.17334060000000001</v>
      </c>
      <c r="I119" s="16">
        <f t="shared" si="12"/>
        <v>0.4346506</v>
      </c>
    </row>
    <row r="120" spans="4:9" x14ac:dyDescent="0.25">
      <c r="D120" s="47">
        <v>46300</v>
      </c>
      <c r="E120" s="47">
        <v>46300</v>
      </c>
      <c r="F120" s="51">
        <v>0.26440000000000002</v>
      </c>
      <c r="G120" s="16">
        <v>0</v>
      </c>
      <c r="H120" s="16">
        <v>0.17334060000000001</v>
      </c>
      <c r="I120" s="16">
        <f t="shared" si="12"/>
        <v>0.43774060000000004</v>
      </c>
    </row>
    <row r="121" spans="4:9" x14ac:dyDescent="0.25">
      <c r="D121" s="47">
        <v>46307</v>
      </c>
      <c r="E121" s="47">
        <v>46307</v>
      </c>
      <c r="F121" s="51">
        <v>0.26512999999999998</v>
      </c>
      <c r="G121" s="16">
        <v>0</v>
      </c>
      <c r="H121" s="16">
        <v>0.17334060000000001</v>
      </c>
      <c r="I121" s="16">
        <f t="shared" ref="I121" si="13">SUM(F121:H121)</f>
        <v>0.43847059999999999</v>
      </c>
    </row>
    <row r="122" spans="4:9" x14ac:dyDescent="0.25">
      <c r="D122" s="47">
        <v>46314</v>
      </c>
      <c r="E122" s="47">
        <v>46314</v>
      </c>
      <c r="F122" s="51">
        <v>0.25949</v>
      </c>
      <c r="G122" s="16">
        <v>0</v>
      </c>
      <c r="H122" s="16">
        <v>0.17334060000000001</v>
      </c>
      <c r="I122" s="16">
        <f t="shared" ref="I122" si="14">SUM(F122:H122)</f>
        <v>0.43283060000000001</v>
      </c>
    </row>
  </sheetData>
  <mergeCells count="6">
    <mergeCell ref="B12:C12"/>
    <mergeCell ref="B13:C13"/>
    <mergeCell ref="B8:C8"/>
    <mergeCell ref="B9:C9"/>
    <mergeCell ref="B10:C10"/>
    <mergeCell ref="B11:C11"/>
  </mergeCells>
  <phoneticPr fontId="11" type="noConversion"/>
  <pageMargins left="0.7" right="0.7" top="0.75" bottom="0.75" header="0.3" footer="0.3"/>
  <pageSetup paperSize="9" orientation="portrait" r:id="rId1"/>
  <ignoredErrors>
    <ignoredError sqref="I120 I95:I117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1"/>
  <sheetViews>
    <sheetView topLeftCell="A12" zoomScale="70" zoomScaleNormal="70" workbookViewId="0">
      <selection activeCell="I36" sqref="I36"/>
    </sheetView>
  </sheetViews>
  <sheetFormatPr defaultRowHeight="15" x14ac:dyDescent="0.25"/>
  <cols>
    <col min="1" max="1" width="14" bestFit="1" customWidth="1"/>
    <col min="3" max="3" width="15.5703125" customWidth="1"/>
    <col min="4" max="4" width="23.140625" customWidth="1"/>
    <col min="5" max="5" width="19.140625" style="1" bestFit="1" customWidth="1"/>
    <col min="6" max="6" width="10.42578125" bestFit="1" customWidth="1"/>
    <col min="7" max="7" width="10.42578125" customWidth="1"/>
    <col min="8" max="8" width="19.140625" bestFit="1" customWidth="1"/>
    <col min="9" max="10" width="12.140625" customWidth="1"/>
    <col min="11" max="11" width="22.140625" bestFit="1" customWidth="1"/>
    <col min="12" max="12" width="11.140625" customWidth="1"/>
  </cols>
  <sheetData>
    <row r="1" spans="1:13" x14ac:dyDescent="0.25">
      <c r="A1" s="36">
        <v>37</v>
      </c>
      <c r="B1" s="2"/>
      <c r="C1" s="2"/>
      <c r="D1" s="2"/>
    </row>
    <row r="2" spans="1:13" x14ac:dyDescent="0.25">
      <c r="A2" s="36" t="s">
        <v>0</v>
      </c>
      <c r="B2" s="37" t="s">
        <v>61</v>
      </c>
      <c r="C2" s="2"/>
      <c r="D2" s="2"/>
      <c r="E2" s="2"/>
    </row>
    <row r="3" spans="1:13" x14ac:dyDescent="0.25">
      <c r="A3" s="36" t="s">
        <v>2</v>
      </c>
      <c r="B3" s="37" t="s">
        <v>160</v>
      </c>
      <c r="C3" s="2"/>
      <c r="D3" s="2"/>
      <c r="E3" s="2"/>
    </row>
    <row r="4" spans="1:13" x14ac:dyDescent="0.25">
      <c r="A4" s="36" t="s">
        <v>3</v>
      </c>
      <c r="B4" s="37" t="s">
        <v>4</v>
      </c>
      <c r="C4" s="2"/>
      <c r="D4" s="2"/>
      <c r="E4" s="2"/>
    </row>
    <row r="5" spans="1:13" x14ac:dyDescent="0.25">
      <c r="A5" s="36" t="s">
        <v>5</v>
      </c>
      <c r="B5" s="37" t="s">
        <v>6</v>
      </c>
      <c r="C5" s="2"/>
      <c r="D5" s="2"/>
      <c r="E5" s="2"/>
    </row>
    <row r="6" spans="1:13" x14ac:dyDescent="0.25">
      <c r="A6" s="36" t="s">
        <v>7</v>
      </c>
      <c r="B6" s="37"/>
      <c r="C6" s="2"/>
      <c r="D6" s="2"/>
      <c r="E6" s="2"/>
    </row>
    <row r="7" spans="1:13" x14ac:dyDescent="0.25">
      <c r="A7" s="36" t="s">
        <v>8</v>
      </c>
      <c r="B7" s="37">
        <v>3</v>
      </c>
      <c r="C7" s="2"/>
      <c r="D7" s="2"/>
      <c r="E7" s="2"/>
    </row>
    <row r="9" spans="1:13" ht="15.75" thickBo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s="2" customFormat="1" x14ac:dyDescent="0.25">
      <c r="B10" s="82" t="s">
        <v>9</v>
      </c>
      <c r="C10" s="83"/>
      <c r="D10" s="83"/>
      <c r="E10" s="83"/>
      <c r="F10" s="84"/>
    </row>
    <row r="11" spans="1:13" s="2" customFormat="1" x14ac:dyDescent="0.25">
      <c r="B11" s="85" t="s">
        <v>10</v>
      </c>
      <c r="C11" s="86"/>
      <c r="D11" s="86"/>
      <c r="E11" s="86"/>
      <c r="F11" s="87"/>
    </row>
    <row r="12" spans="1:13" s="2" customFormat="1" x14ac:dyDescent="0.25">
      <c r="B12" s="85" t="s">
        <v>11</v>
      </c>
      <c r="C12" s="86"/>
      <c r="D12" s="86"/>
      <c r="E12" s="86"/>
      <c r="F12" s="87"/>
    </row>
    <row r="13" spans="1:13" s="2" customFormat="1" x14ac:dyDescent="0.25">
      <c r="B13" s="85" t="s">
        <v>12</v>
      </c>
      <c r="C13" s="86"/>
      <c r="D13" s="86"/>
      <c r="E13" s="86"/>
      <c r="F13" s="87"/>
    </row>
    <row r="14" spans="1:13" s="2" customFormat="1" ht="15.75" thickBot="1" x14ac:dyDescent="0.3">
      <c r="B14" s="88" t="s">
        <v>13</v>
      </c>
      <c r="C14" s="89"/>
      <c r="D14" s="89"/>
      <c r="E14" s="89"/>
      <c r="F14" s="90"/>
    </row>
    <row r="15" spans="1:13" s="2" customFormat="1" ht="15.75" thickBot="1" x14ac:dyDescent="0.3"/>
    <row r="16" spans="1:13" s="2" customFormat="1" ht="15.75" thickBot="1" x14ac:dyDescent="0.3">
      <c r="B16" s="79" t="s">
        <v>14</v>
      </c>
      <c r="C16" s="80"/>
      <c r="D16" s="81"/>
      <c r="E16" s="12"/>
    </row>
    <row r="17" spans="2:13" s="2" customFormat="1" x14ac:dyDescent="0.25">
      <c r="B17" s="11"/>
      <c r="C17" s="11"/>
      <c r="D17" s="11"/>
      <c r="E17" s="11"/>
    </row>
    <row r="18" spans="2:13" s="2" customFormat="1" ht="15.75" thickBot="1" x14ac:dyDescent="0.3"/>
    <row r="19" spans="2:13" s="2" customFormat="1" ht="15.75" thickBot="1" x14ac:dyDescent="0.3">
      <c r="B19" s="74" t="s">
        <v>62</v>
      </c>
      <c r="C19" s="75"/>
      <c r="D19" s="43"/>
      <c r="E19" s="43"/>
      <c r="F19" s="43"/>
      <c r="G19" s="43"/>
      <c r="H19" s="43"/>
      <c r="I19" s="44"/>
    </row>
    <row r="20" spans="2:13" s="5" customFormat="1" ht="12" x14ac:dyDescent="0.2">
      <c r="B20" s="77" t="s">
        <v>15</v>
      </c>
      <c r="C20" s="78"/>
      <c r="D20" s="57" t="s">
        <v>16</v>
      </c>
      <c r="E20" s="57" t="s">
        <v>15</v>
      </c>
      <c r="F20" s="57" t="s">
        <v>17</v>
      </c>
      <c r="G20" s="57"/>
      <c r="H20" s="57" t="s">
        <v>15</v>
      </c>
      <c r="I20" s="45" t="s">
        <v>18</v>
      </c>
      <c r="K20" s="10"/>
    </row>
    <row r="21" spans="2:13" s="4" customFormat="1" ht="12" x14ac:dyDescent="0.2">
      <c r="B21" s="76" t="s">
        <v>63</v>
      </c>
      <c r="C21" s="76"/>
      <c r="D21" s="15">
        <v>12</v>
      </c>
      <c r="E21" s="51" t="s">
        <v>64</v>
      </c>
      <c r="F21" s="16">
        <v>7.3539999999999994E-2</v>
      </c>
      <c r="G21" s="16"/>
      <c r="H21" s="51" t="s">
        <v>20</v>
      </c>
      <c r="I21" s="51">
        <v>1.26E-2</v>
      </c>
      <c r="M21" s="5"/>
    </row>
    <row r="22" spans="2:13" s="4" customFormat="1" ht="12" x14ac:dyDescent="0.2">
      <c r="B22" s="76" t="s">
        <v>65</v>
      </c>
      <c r="C22" s="76"/>
      <c r="D22" s="15">
        <v>13</v>
      </c>
      <c r="E22" s="51" t="s">
        <v>66</v>
      </c>
      <c r="F22" s="16">
        <v>7.7509999999999996E-2</v>
      </c>
      <c r="G22" s="16"/>
      <c r="H22" s="51" t="s">
        <v>24</v>
      </c>
      <c r="I22" s="51">
        <v>1.651E-2</v>
      </c>
      <c r="M22" s="5"/>
    </row>
    <row r="23" spans="2:13" s="4" customFormat="1" ht="12" x14ac:dyDescent="0.2">
      <c r="B23" s="22"/>
      <c r="C23" s="22"/>
      <c r="D23" s="15"/>
      <c r="E23" s="51" t="s">
        <v>67</v>
      </c>
      <c r="F23" s="16">
        <v>0.10750999999999999</v>
      </c>
      <c r="G23" s="16"/>
      <c r="H23" s="51" t="s">
        <v>28</v>
      </c>
      <c r="I23" s="16">
        <f>16.95/1000</f>
        <v>1.695E-2</v>
      </c>
      <c r="K23" s="5"/>
      <c r="L23" s="5"/>
      <c r="M23" s="5"/>
    </row>
    <row r="24" spans="2:13" s="4" customFormat="1" x14ac:dyDescent="0.25">
      <c r="B24" s="48"/>
      <c r="C24" s="48"/>
      <c r="D24" s="48"/>
      <c r="E24" s="51" t="s">
        <v>121</v>
      </c>
      <c r="F24" s="16">
        <v>7.3190000000000005E-2</v>
      </c>
      <c r="G24" s="48"/>
      <c r="H24" s="51" t="s">
        <v>68</v>
      </c>
      <c r="I24" s="16">
        <f>31.53/1000</f>
        <v>3.1530000000000002E-2</v>
      </c>
      <c r="K24" s="5"/>
      <c r="L24" s="5"/>
      <c r="M24" s="5"/>
    </row>
    <row r="25" spans="2:13" s="4" customFormat="1" x14ac:dyDescent="0.25">
      <c r="B25" s="48"/>
      <c r="C25" s="48"/>
      <c r="D25" s="48"/>
      <c r="E25" s="51" t="s">
        <v>138</v>
      </c>
      <c r="F25" s="16">
        <v>4.7190000000000003E-2</v>
      </c>
      <c r="G25" s="48"/>
      <c r="H25" s="50">
        <v>2020</v>
      </c>
      <c r="I25" s="16">
        <f>58.45/1000</f>
        <v>5.8450000000000002E-2</v>
      </c>
      <c r="K25" s="5"/>
      <c r="L25" s="5"/>
      <c r="M25" s="5"/>
    </row>
    <row r="26" spans="2:13" s="4" customFormat="1" ht="12" x14ac:dyDescent="0.2">
      <c r="B26" s="22"/>
      <c r="C26" s="22"/>
      <c r="D26" s="22"/>
      <c r="E26" s="22" t="s">
        <v>145</v>
      </c>
      <c r="F26" s="22">
        <v>2.1000000000000001E-2</v>
      </c>
      <c r="G26" s="22"/>
      <c r="H26" s="47" t="s">
        <v>135</v>
      </c>
      <c r="I26" s="51">
        <v>5.9200000000000003E-2</v>
      </c>
      <c r="K26" s="5"/>
      <c r="L26" s="5"/>
      <c r="M26" s="5"/>
    </row>
    <row r="27" spans="2:13" s="4" customFormat="1" ht="12" x14ac:dyDescent="0.2">
      <c r="B27" s="22"/>
      <c r="C27" s="22"/>
      <c r="D27" s="22"/>
      <c r="E27" s="22"/>
      <c r="F27" s="22"/>
      <c r="G27" s="22"/>
      <c r="H27" s="47" t="s">
        <v>133</v>
      </c>
      <c r="I27" s="18">
        <v>7.9200000000000007E-2</v>
      </c>
      <c r="K27" s="5"/>
      <c r="L27" s="5"/>
      <c r="M27" s="5"/>
    </row>
    <row r="28" spans="2:13" s="4" customFormat="1" ht="12" x14ac:dyDescent="0.2">
      <c r="B28" s="22"/>
      <c r="C28" s="22"/>
      <c r="D28" s="22"/>
      <c r="E28" s="22"/>
      <c r="F28" s="22"/>
      <c r="G28" s="22"/>
      <c r="H28" s="47" t="s">
        <v>136</v>
      </c>
      <c r="I28" s="18">
        <v>9.9202368407999994E-2</v>
      </c>
      <c r="K28" s="5"/>
      <c r="L28" s="5"/>
      <c r="M28" s="5"/>
    </row>
    <row r="29" spans="2:13" s="4" customFormat="1" ht="12" x14ac:dyDescent="0.2">
      <c r="B29" s="22"/>
      <c r="C29" s="22"/>
      <c r="D29" s="22"/>
      <c r="E29" s="22"/>
      <c r="F29" s="22"/>
      <c r="G29" s="22"/>
      <c r="H29" s="51" t="s">
        <v>141</v>
      </c>
      <c r="I29" s="51">
        <v>0.11920172823</v>
      </c>
      <c r="K29" s="5"/>
      <c r="L29" s="5"/>
      <c r="M29" s="5"/>
    </row>
    <row r="30" spans="2:13" s="4" customFormat="1" ht="12" x14ac:dyDescent="0.2">
      <c r="B30" s="22"/>
      <c r="C30" s="22"/>
      <c r="D30" s="22"/>
      <c r="E30" s="22"/>
      <c r="F30" s="22"/>
      <c r="G30" s="22"/>
      <c r="H30" s="51" t="s">
        <v>142</v>
      </c>
      <c r="I30" s="16">
        <v>0.13920108805199999</v>
      </c>
      <c r="K30" s="5"/>
      <c r="L30" s="5"/>
      <c r="M30" s="5"/>
    </row>
    <row r="31" spans="2:13" s="4" customFormat="1" ht="12" x14ac:dyDescent="0.2">
      <c r="B31" s="22"/>
      <c r="C31" s="22"/>
      <c r="D31" s="22"/>
      <c r="E31" s="22"/>
      <c r="F31" s="22"/>
      <c r="G31" s="22"/>
      <c r="H31" s="22" t="s">
        <v>148</v>
      </c>
      <c r="I31" s="16">
        <v>0.13920108805199999</v>
      </c>
      <c r="K31" s="5"/>
      <c r="L31" s="5"/>
      <c r="M31" s="5"/>
    </row>
    <row r="32" spans="2:13" s="4" customFormat="1" ht="12" x14ac:dyDescent="0.2">
      <c r="B32" s="22"/>
      <c r="C32" s="22"/>
      <c r="D32" s="22"/>
      <c r="E32" s="22"/>
      <c r="F32" s="22"/>
      <c r="G32" s="22"/>
      <c r="H32" s="51" t="s">
        <v>149</v>
      </c>
      <c r="I32" s="51">
        <v>0.16919999999999999</v>
      </c>
      <c r="K32" s="5"/>
      <c r="L32" s="5"/>
      <c r="M32" s="5"/>
    </row>
    <row r="33" spans="2:13" s="4" customFormat="1" ht="12" x14ac:dyDescent="0.2">
      <c r="B33" s="22"/>
      <c r="C33" s="22"/>
      <c r="D33" s="22"/>
      <c r="E33" s="22"/>
      <c r="F33" s="22"/>
      <c r="G33" s="22"/>
      <c r="H33" s="51" t="s">
        <v>150</v>
      </c>
      <c r="I33" s="51">
        <v>0.18420150379800002</v>
      </c>
      <c r="K33" s="5"/>
      <c r="L33" s="5"/>
      <c r="M33" s="5"/>
    </row>
    <row r="34" spans="2:13" s="4" customFormat="1" ht="12" x14ac:dyDescent="0.2">
      <c r="B34" s="22"/>
      <c r="C34" s="22"/>
      <c r="D34" s="22"/>
      <c r="E34" s="22"/>
      <c r="F34" s="22"/>
      <c r="G34" s="22"/>
      <c r="H34" s="47" t="s">
        <v>151</v>
      </c>
      <c r="I34" s="51">
        <v>0.20046382199999999</v>
      </c>
      <c r="K34" s="5"/>
      <c r="L34" s="5"/>
      <c r="M34" s="5"/>
    </row>
    <row r="35" spans="2:13" s="4" customFormat="1" ht="12" x14ac:dyDescent="0.2">
      <c r="B35" s="22"/>
      <c r="C35" s="22"/>
      <c r="D35" s="22"/>
      <c r="E35" s="22"/>
      <c r="F35" s="22"/>
      <c r="G35" s="22"/>
      <c r="H35" s="47">
        <v>45658</v>
      </c>
      <c r="I35" s="51">
        <v>0.16679332449000001</v>
      </c>
      <c r="K35" s="5"/>
      <c r="L35" s="5"/>
      <c r="M35" s="5"/>
    </row>
    <row r="36" spans="2:13" s="4" customFormat="1" ht="12" x14ac:dyDescent="0.2">
      <c r="B36" s="22"/>
      <c r="C36" s="22"/>
      <c r="D36" s="22"/>
      <c r="E36" s="22"/>
      <c r="F36" s="22"/>
      <c r="G36" s="22"/>
      <c r="H36" s="47">
        <v>46023</v>
      </c>
      <c r="I36" s="51">
        <v>0.17334060000000001</v>
      </c>
      <c r="K36" s="5"/>
      <c r="L36" s="5"/>
      <c r="M36" s="5"/>
    </row>
    <row r="37" spans="2:13" s="4" customFormat="1" x14ac:dyDescent="0.25">
      <c r="B37" s="38"/>
      <c r="C37" s="38" t="s">
        <v>40</v>
      </c>
      <c r="D37" s="38"/>
      <c r="E37" s="38"/>
      <c r="F37" s="39"/>
      <c r="G37" s="38"/>
      <c r="H37" s="38"/>
      <c r="I37" s="38"/>
      <c r="K37" s="5"/>
      <c r="L37" s="5"/>
      <c r="M37" s="5"/>
    </row>
    <row r="38" spans="2:13" s="4" customFormat="1" x14ac:dyDescent="0.25">
      <c r="B38" s="38"/>
      <c r="C38" s="38" t="s">
        <v>41</v>
      </c>
      <c r="D38" s="38"/>
      <c r="E38" s="38"/>
      <c r="F38" s="39"/>
      <c r="G38" s="38"/>
      <c r="H38" s="38"/>
      <c r="I38" s="38"/>
      <c r="K38" s="5"/>
      <c r="L38" s="5"/>
      <c r="M38" s="5"/>
    </row>
    <row r="39" spans="2:13" s="4" customFormat="1" x14ac:dyDescent="0.25">
      <c r="B39" s="38"/>
      <c r="C39" s="38" t="s">
        <v>42</v>
      </c>
      <c r="D39" s="38"/>
      <c r="E39" s="38"/>
      <c r="F39" s="39"/>
      <c r="G39" s="38"/>
      <c r="H39" s="38"/>
      <c r="I39" s="38"/>
      <c r="K39" s="5"/>
      <c r="L39" s="5"/>
      <c r="M39" s="5"/>
    </row>
    <row r="40" spans="2:13" s="4" customFormat="1" x14ac:dyDescent="0.25">
      <c r="B40" s="38"/>
      <c r="C40" s="38"/>
      <c r="D40" s="38"/>
      <c r="E40" s="38"/>
      <c r="F40" s="39"/>
      <c r="G40" s="38"/>
      <c r="H40" s="38"/>
      <c r="I40" s="38"/>
      <c r="K40" s="5"/>
      <c r="L40" s="5"/>
      <c r="M40" s="5"/>
    </row>
    <row r="41" spans="2:13" s="4" customFormat="1" ht="12" x14ac:dyDescent="0.2">
      <c r="E41" s="7"/>
      <c r="F41" s="5"/>
      <c r="G41" s="5"/>
      <c r="H41" s="8"/>
      <c r="I41" s="5"/>
      <c r="J41" s="8"/>
      <c r="K41" s="5"/>
      <c r="L41" s="5"/>
      <c r="M41" s="5"/>
    </row>
    <row r="42" spans="2:13" s="4" customFormat="1" ht="12" x14ac:dyDescent="0.2">
      <c r="E42" s="7"/>
      <c r="F42" s="5"/>
      <c r="G42" s="5"/>
      <c r="H42" s="8"/>
      <c r="I42" s="5"/>
      <c r="J42" s="8"/>
      <c r="K42" s="5"/>
      <c r="L42" s="5"/>
      <c r="M42" s="5"/>
    </row>
    <row r="43" spans="2:13" s="4" customFormat="1" ht="12" x14ac:dyDescent="0.2">
      <c r="E43" s="7"/>
      <c r="F43" s="5"/>
      <c r="G43" s="5"/>
      <c r="H43" s="8"/>
      <c r="I43" s="5"/>
      <c r="J43" s="8"/>
      <c r="K43" s="5"/>
      <c r="L43" s="5"/>
      <c r="M43" s="5"/>
    </row>
    <row r="44" spans="2:13" s="4" customFormat="1" ht="12" x14ac:dyDescent="0.2">
      <c r="E44" s="7"/>
      <c r="F44" s="5"/>
      <c r="G44" s="5"/>
      <c r="H44" s="8"/>
      <c r="I44" s="5"/>
      <c r="J44" s="8"/>
      <c r="K44" s="5"/>
      <c r="L44" s="5"/>
      <c r="M44" s="5"/>
    </row>
    <row r="45" spans="2:13" s="4" customFormat="1" ht="12" x14ac:dyDescent="0.2">
      <c r="E45" s="7"/>
      <c r="F45" s="5"/>
      <c r="G45" s="5"/>
      <c r="H45" s="8"/>
      <c r="I45" s="5"/>
      <c r="J45" s="8"/>
      <c r="K45" s="5"/>
      <c r="L45" s="5"/>
      <c r="M45" s="5"/>
    </row>
    <row r="46" spans="2:13" s="4" customFormat="1" ht="12" x14ac:dyDescent="0.2">
      <c r="E46" s="7"/>
      <c r="F46" s="5"/>
      <c r="G46" s="5"/>
      <c r="H46" s="8"/>
      <c r="I46" s="5"/>
      <c r="J46" s="8"/>
      <c r="K46" s="5"/>
      <c r="L46" s="5"/>
      <c r="M46" s="5"/>
    </row>
    <row r="47" spans="2:13" s="4" customFormat="1" ht="12" x14ac:dyDescent="0.2">
      <c r="E47" s="7"/>
      <c r="F47" s="5"/>
      <c r="G47" s="5"/>
      <c r="H47" s="8"/>
      <c r="I47" s="5"/>
      <c r="J47" s="8"/>
      <c r="K47" s="5"/>
      <c r="L47" s="5"/>
      <c r="M47" s="5"/>
    </row>
    <row r="48" spans="2:13" s="4" customFormat="1" ht="12" x14ac:dyDescent="0.2">
      <c r="E48" s="5"/>
      <c r="F48" s="8"/>
      <c r="G48" s="8"/>
      <c r="H48" s="8"/>
      <c r="I48" s="5"/>
      <c r="J48" s="5"/>
      <c r="K48" s="5"/>
      <c r="L48" s="5"/>
      <c r="M48" s="5"/>
    </row>
    <row r="49" spans="2:13" s="4" customFormat="1" ht="12.75" thickBot="1" x14ac:dyDescent="0.25">
      <c r="B49" s="5"/>
      <c r="C49" s="5"/>
      <c r="D49" s="5"/>
      <c r="E49" s="5"/>
      <c r="F49" s="5"/>
      <c r="G49" s="5"/>
      <c r="H49" s="8"/>
      <c r="I49" s="5"/>
      <c r="J49" s="5"/>
      <c r="K49" s="5"/>
      <c r="L49" s="5"/>
      <c r="M49" s="5"/>
    </row>
    <row r="50" spans="2:13" ht="75" x14ac:dyDescent="0.25">
      <c r="D50" s="31"/>
      <c r="E50" s="24"/>
      <c r="F50" s="24" t="s">
        <v>43</v>
      </c>
      <c r="G50" s="24"/>
      <c r="H50" s="24" t="s">
        <v>45</v>
      </c>
      <c r="I50" s="25" t="s">
        <v>46</v>
      </c>
    </row>
    <row r="51" spans="2:13" x14ac:dyDescent="0.25">
      <c r="D51" s="46">
        <v>37987</v>
      </c>
      <c r="E51" s="22" t="s">
        <v>64</v>
      </c>
      <c r="F51" s="20">
        <f>F21</f>
        <v>7.3539999999999994E-2</v>
      </c>
      <c r="G51" s="20"/>
      <c r="H51" s="42">
        <v>0</v>
      </c>
      <c r="I51" s="42">
        <v>7.3539999999999994E-2</v>
      </c>
    </row>
    <row r="52" spans="2:13" x14ac:dyDescent="0.25">
      <c r="D52" s="46">
        <v>38513</v>
      </c>
      <c r="E52" s="22" t="s">
        <v>69</v>
      </c>
      <c r="F52" s="16">
        <f>F22</f>
        <v>7.7509999999999996E-2</v>
      </c>
      <c r="G52" s="20"/>
      <c r="H52" s="42">
        <v>0</v>
      </c>
      <c r="I52" s="42">
        <v>7.7509999999999996E-2</v>
      </c>
    </row>
    <row r="53" spans="2:13" x14ac:dyDescent="0.25">
      <c r="D53" s="46">
        <v>42005</v>
      </c>
      <c r="E53" s="22" t="s">
        <v>20</v>
      </c>
      <c r="F53" s="16">
        <f>F22</f>
        <v>7.7509999999999996E-2</v>
      </c>
      <c r="G53" s="20"/>
      <c r="H53" s="42">
        <f>I21</f>
        <v>1.26E-2</v>
      </c>
      <c r="I53" s="42">
        <v>9.0109999999999996E-2</v>
      </c>
    </row>
    <row r="54" spans="2:13" x14ac:dyDescent="0.25">
      <c r="D54" s="46">
        <v>42370</v>
      </c>
      <c r="E54" s="22" t="s">
        <v>49</v>
      </c>
      <c r="F54" s="16">
        <f>F22</f>
        <v>7.7509999999999996E-2</v>
      </c>
      <c r="G54" s="20"/>
      <c r="H54" s="42">
        <f>I22</f>
        <v>1.651E-2</v>
      </c>
      <c r="I54" s="42">
        <v>9.4019999999999992E-2</v>
      </c>
    </row>
    <row r="55" spans="2:13" x14ac:dyDescent="0.25">
      <c r="D55" s="46">
        <v>42412</v>
      </c>
      <c r="E55" s="22" t="s">
        <v>70</v>
      </c>
      <c r="F55" s="16">
        <f>F23</f>
        <v>0.10750999999999999</v>
      </c>
      <c r="G55" s="20"/>
      <c r="H55" s="42">
        <f>I22</f>
        <v>1.651E-2</v>
      </c>
      <c r="I55" s="42">
        <v>0.12401999999999999</v>
      </c>
    </row>
    <row r="56" spans="2:13" x14ac:dyDescent="0.25">
      <c r="D56" s="46">
        <v>42736</v>
      </c>
      <c r="E56" s="46">
        <v>42736</v>
      </c>
      <c r="F56" s="16">
        <f>F23</f>
        <v>0.10750999999999999</v>
      </c>
      <c r="G56" s="20"/>
      <c r="H56" s="42">
        <f>I23</f>
        <v>1.695E-2</v>
      </c>
      <c r="I56" s="42">
        <v>0.12445999999999999</v>
      </c>
    </row>
    <row r="57" spans="2:13" x14ac:dyDescent="0.25">
      <c r="D57" s="46" t="s">
        <v>37</v>
      </c>
      <c r="E57" s="22" t="s">
        <v>37</v>
      </c>
      <c r="F57" s="16">
        <f>F23</f>
        <v>0.10750999999999999</v>
      </c>
      <c r="G57" s="20"/>
      <c r="H57" s="42">
        <f>I24</f>
        <v>3.1530000000000002E-2</v>
      </c>
      <c r="I57" s="42">
        <f t="shared" ref="I57:I63" si="0">SUM(F57:H57)</f>
        <v>0.13904</v>
      </c>
    </row>
    <row r="58" spans="2:13" x14ac:dyDescent="0.25">
      <c r="D58" s="50">
        <v>2020</v>
      </c>
      <c r="E58" s="50">
        <v>2020</v>
      </c>
      <c r="F58" s="16">
        <f>F23</f>
        <v>0.10750999999999999</v>
      </c>
      <c r="G58" s="20"/>
      <c r="H58" s="42">
        <f>I25</f>
        <v>5.8450000000000002E-2</v>
      </c>
      <c r="I58" s="42">
        <f t="shared" si="0"/>
        <v>0.16596</v>
      </c>
    </row>
    <row r="59" spans="2:13" x14ac:dyDescent="0.25">
      <c r="D59" s="51">
        <v>2021</v>
      </c>
      <c r="E59" s="51">
        <v>2021</v>
      </c>
      <c r="F59" s="16">
        <f>F23</f>
        <v>0.10750999999999999</v>
      </c>
      <c r="G59" s="20"/>
      <c r="H59" s="42">
        <f>I26</f>
        <v>5.9200000000000003E-2</v>
      </c>
      <c r="I59" s="42">
        <f t="shared" si="0"/>
        <v>0.16671</v>
      </c>
    </row>
    <row r="60" spans="2:13" x14ac:dyDescent="0.25">
      <c r="D60" s="51" t="s">
        <v>121</v>
      </c>
      <c r="E60" s="51" t="s">
        <v>121</v>
      </c>
      <c r="F60" s="16">
        <f>F24</f>
        <v>7.3190000000000005E-2</v>
      </c>
      <c r="G60" s="20"/>
      <c r="H60" s="42">
        <f>I26</f>
        <v>5.9200000000000003E-2</v>
      </c>
      <c r="I60" s="42">
        <f t="shared" si="0"/>
        <v>0.13239000000000001</v>
      </c>
    </row>
    <row r="61" spans="2:13" x14ac:dyDescent="0.25">
      <c r="D61" s="51" t="s">
        <v>134</v>
      </c>
      <c r="E61" s="51" t="s">
        <v>134</v>
      </c>
      <c r="F61" s="16">
        <f>F25</f>
        <v>4.7190000000000003E-2</v>
      </c>
      <c r="G61" s="20"/>
      <c r="H61" s="42">
        <f t="shared" ref="H61:H66" si="1">I26</f>
        <v>5.9200000000000003E-2</v>
      </c>
      <c r="I61" s="42">
        <f t="shared" si="0"/>
        <v>0.10639000000000001</v>
      </c>
    </row>
    <row r="62" spans="2:13" x14ac:dyDescent="0.25">
      <c r="D62" s="47" t="s">
        <v>133</v>
      </c>
      <c r="E62" s="47" t="s">
        <v>133</v>
      </c>
      <c r="F62" s="16">
        <f>F25</f>
        <v>4.7190000000000003E-2</v>
      </c>
      <c r="G62" s="20"/>
      <c r="H62" s="42">
        <f t="shared" si="1"/>
        <v>7.9200000000000007E-2</v>
      </c>
      <c r="I62" s="42">
        <f t="shared" si="0"/>
        <v>0.12639</v>
      </c>
    </row>
    <row r="63" spans="2:13" x14ac:dyDescent="0.25">
      <c r="D63" s="51" t="s">
        <v>137</v>
      </c>
      <c r="E63" s="51" t="s">
        <v>137</v>
      </c>
      <c r="F63" s="16">
        <f>F25</f>
        <v>4.7190000000000003E-2</v>
      </c>
      <c r="G63" s="58"/>
      <c r="H63" s="42">
        <f t="shared" si="1"/>
        <v>9.9202368407999994E-2</v>
      </c>
      <c r="I63" s="42">
        <f t="shared" si="0"/>
        <v>0.14639236840799999</v>
      </c>
    </row>
    <row r="64" spans="2:13" x14ac:dyDescent="0.25">
      <c r="D64" s="51" t="s">
        <v>141</v>
      </c>
      <c r="E64" s="51" t="s">
        <v>141</v>
      </c>
      <c r="F64" s="16">
        <f>F25</f>
        <v>4.7190000000000003E-2</v>
      </c>
      <c r="G64" s="58"/>
      <c r="H64" s="42">
        <f t="shared" si="1"/>
        <v>0.11920172823</v>
      </c>
      <c r="I64" s="42">
        <f t="shared" ref="I64:I69" si="2">SUM(F64:H64)</f>
        <v>0.16639172823000001</v>
      </c>
    </row>
    <row r="65" spans="4:9" x14ac:dyDescent="0.25">
      <c r="D65" s="51" t="s">
        <v>142</v>
      </c>
      <c r="E65" s="51" t="s">
        <v>142</v>
      </c>
      <c r="F65" s="16">
        <f>F25</f>
        <v>4.7190000000000003E-2</v>
      </c>
      <c r="G65" s="58"/>
      <c r="H65" s="42">
        <f t="shared" si="1"/>
        <v>0.13920108805199999</v>
      </c>
      <c r="I65" s="42">
        <f t="shared" si="2"/>
        <v>0.186391088052</v>
      </c>
    </row>
    <row r="66" spans="4:9" x14ac:dyDescent="0.25">
      <c r="D66" s="22" t="s">
        <v>148</v>
      </c>
      <c r="E66" s="22" t="s">
        <v>148</v>
      </c>
      <c r="F66" s="16">
        <f>F26</f>
        <v>2.1000000000000001E-2</v>
      </c>
      <c r="G66" s="58"/>
      <c r="H66" s="42">
        <f t="shared" si="1"/>
        <v>0.13920108805199999</v>
      </c>
      <c r="I66" s="42">
        <f t="shared" si="2"/>
        <v>0.16020108805199998</v>
      </c>
    </row>
    <row r="67" spans="4:9" x14ac:dyDescent="0.25">
      <c r="D67" s="51" t="s">
        <v>149</v>
      </c>
      <c r="E67" s="51" t="s">
        <v>149</v>
      </c>
      <c r="F67" s="16">
        <f>F26</f>
        <v>2.1000000000000001E-2</v>
      </c>
      <c r="G67" s="58"/>
      <c r="H67" s="42">
        <f t="shared" ref="H67" si="3">I32</f>
        <v>0.16919999999999999</v>
      </c>
      <c r="I67" s="42">
        <f t="shared" si="2"/>
        <v>0.19019999999999998</v>
      </c>
    </row>
    <row r="68" spans="4:9" x14ac:dyDescent="0.25">
      <c r="D68" s="51" t="s">
        <v>150</v>
      </c>
      <c r="E68" s="51" t="s">
        <v>150</v>
      </c>
      <c r="F68" s="16">
        <f>F26</f>
        <v>2.1000000000000001E-2</v>
      </c>
      <c r="G68" s="58"/>
      <c r="H68" s="42">
        <f t="shared" ref="H68" si="4">I33</f>
        <v>0.18420150379800002</v>
      </c>
      <c r="I68" s="42">
        <f t="shared" si="2"/>
        <v>0.20520150379800001</v>
      </c>
    </row>
    <row r="69" spans="4:9" x14ac:dyDescent="0.25">
      <c r="D69" s="47" t="s">
        <v>151</v>
      </c>
      <c r="E69" s="47" t="s">
        <v>151</v>
      </c>
      <c r="F69" s="16">
        <f>F26</f>
        <v>2.1000000000000001E-2</v>
      </c>
      <c r="G69" s="58"/>
      <c r="H69" s="42">
        <f t="shared" ref="H69" si="5">I34</f>
        <v>0.20046382199999999</v>
      </c>
      <c r="I69" s="42">
        <f t="shared" si="2"/>
        <v>0.22146382199999998</v>
      </c>
    </row>
    <row r="70" spans="4:9" x14ac:dyDescent="0.25">
      <c r="D70" s="47">
        <v>45658</v>
      </c>
      <c r="E70" s="47">
        <v>45658</v>
      </c>
      <c r="F70" s="16">
        <f>F26</f>
        <v>2.1000000000000001E-2</v>
      </c>
      <c r="G70" s="58"/>
      <c r="H70" s="42">
        <f>I35</f>
        <v>0.16679332449000001</v>
      </c>
      <c r="I70" s="42">
        <f>SUM(F70:H70)</f>
        <v>0.18779332449</v>
      </c>
    </row>
    <row r="71" spans="4:9" x14ac:dyDescent="0.25">
      <c r="D71" s="47">
        <v>46023</v>
      </c>
      <c r="E71" s="47">
        <v>46023</v>
      </c>
      <c r="F71" s="16">
        <f>F26</f>
        <v>2.1000000000000001E-2</v>
      </c>
      <c r="G71" s="58"/>
      <c r="H71" s="42">
        <f>I36</f>
        <v>0.17334060000000001</v>
      </c>
      <c r="I71" s="42">
        <f>SUM(F71:H71)</f>
        <v>0.1943406</v>
      </c>
    </row>
  </sheetData>
  <mergeCells count="10">
    <mergeCell ref="B10:F10"/>
    <mergeCell ref="B11:F11"/>
    <mergeCell ref="B12:F12"/>
    <mergeCell ref="B13:F13"/>
    <mergeCell ref="B14:F14"/>
    <mergeCell ref="B19:C19"/>
    <mergeCell ref="B21:C21"/>
    <mergeCell ref="B22:C22"/>
    <mergeCell ref="B20:C20"/>
    <mergeCell ref="B16:D16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2"/>
  <sheetViews>
    <sheetView topLeftCell="A41" zoomScale="70" zoomScaleNormal="70" workbookViewId="0">
      <selection activeCell="I74" sqref="I74"/>
    </sheetView>
  </sheetViews>
  <sheetFormatPr defaultRowHeight="15" x14ac:dyDescent="0.25"/>
  <cols>
    <col min="1" max="1" width="14" bestFit="1" customWidth="1"/>
    <col min="3" max="3" width="12.85546875" customWidth="1"/>
    <col min="4" max="4" width="25.85546875" style="1" bestFit="1" customWidth="1"/>
    <col min="5" max="5" width="22.140625" bestFit="1" customWidth="1"/>
    <col min="6" max="6" width="10.42578125" bestFit="1" customWidth="1"/>
    <col min="7" max="7" width="10.42578125" customWidth="1"/>
    <col min="8" max="8" width="21" bestFit="1" customWidth="1"/>
    <col min="9" max="9" width="12.140625" customWidth="1"/>
    <col min="10" max="10" width="22.140625" bestFit="1" customWidth="1"/>
    <col min="11" max="11" width="11.140625" customWidth="1"/>
  </cols>
  <sheetData>
    <row r="1" spans="1:13" x14ac:dyDescent="0.25">
      <c r="A1" s="36">
        <v>38</v>
      </c>
      <c r="B1" s="2"/>
      <c r="C1" s="2"/>
      <c r="D1" s="2"/>
    </row>
    <row r="2" spans="1:13" x14ac:dyDescent="0.25">
      <c r="A2" s="36" t="s">
        <v>0</v>
      </c>
      <c r="B2" s="37" t="s">
        <v>71</v>
      </c>
      <c r="C2" s="2"/>
      <c r="D2" s="2"/>
      <c r="E2" s="2"/>
    </row>
    <row r="3" spans="1:13" x14ac:dyDescent="0.25">
      <c r="A3" s="36" t="s">
        <v>2</v>
      </c>
      <c r="B3" s="37" t="s">
        <v>160</v>
      </c>
      <c r="C3" s="2"/>
      <c r="D3" s="2"/>
      <c r="E3" s="2"/>
    </row>
    <row r="4" spans="1:13" x14ac:dyDescent="0.25">
      <c r="A4" s="36" t="s">
        <v>3</v>
      </c>
      <c r="B4" s="37" t="s">
        <v>4</v>
      </c>
      <c r="C4" s="2"/>
      <c r="D4" s="2"/>
      <c r="E4" s="2"/>
    </row>
    <row r="5" spans="1:13" x14ac:dyDescent="0.25">
      <c r="A5" s="36" t="s">
        <v>5</v>
      </c>
      <c r="B5" s="37" t="s">
        <v>6</v>
      </c>
      <c r="C5" s="2"/>
      <c r="D5" s="2"/>
      <c r="E5" s="2"/>
    </row>
    <row r="6" spans="1:13" x14ac:dyDescent="0.25">
      <c r="A6" s="36" t="s">
        <v>7</v>
      </c>
      <c r="B6" s="37"/>
      <c r="C6" s="2"/>
      <c r="D6" s="2"/>
      <c r="E6" s="2"/>
    </row>
    <row r="7" spans="1:13" x14ac:dyDescent="0.25">
      <c r="A7" s="36" t="s">
        <v>8</v>
      </c>
      <c r="B7" s="37">
        <v>4</v>
      </c>
      <c r="C7" s="2"/>
      <c r="D7" s="2"/>
      <c r="E7" s="2"/>
    </row>
    <row r="8" spans="1:13" x14ac:dyDescent="0.25">
      <c r="D8"/>
      <c r="E8" s="1"/>
    </row>
    <row r="9" spans="1:13" ht="15.75" thickBo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s="2" customFormat="1" x14ac:dyDescent="0.25">
      <c r="B10" s="82" t="s">
        <v>9</v>
      </c>
      <c r="C10" s="83"/>
      <c r="D10" s="83"/>
      <c r="E10" s="83"/>
      <c r="F10" s="84"/>
    </row>
    <row r="11" spans="1:13" s="2" customFormat="1" x14ac:dyDescent="0.25">
      <c r="B11" s="85" t="s">
        <v>10</v>
      </c>
      <c r="C11" s="86"/>
      <c r="D11" s="86"/>
      <c r="E11" s="86"/>
      <c r="F11" s="87"/>
    </row>
    <row r="12" spans="1:13" s="2" customFormat="1" x14ac:dyDescent="0.25">
      <c r="B12" s="85" t="s">
        <v>11</v>
      </c>
      <c r="C12" s="86"/>
      <c r="D12" s="86"/>
      <c r="E12" s="86"/>
      <c r="F12" s="87"/>
    </row>
    <row r="13" spans="1:13" s="2" customFormat="1" x14ac:dyDescent="0.25">
      <c r="B13" s="85" t="s">
        <v>12</v>
      </c>
      <c r="C13" s="86"/>
      <c r="D13" s="86"/>
      <c r="E13" s="86"/>
      <c r="F13" s="87"/>
    </row>
    <row r="14" spans="1:13" s="2" customFormat="1" ht="15.75" thickBot="1" x14ac:dyDescent="0.3">
      <c r="B14" s="88" t="s">
        <v>13</v>
      </c>
      <c r="C14" s="89"/>
      <c r="D14" s="89"/>
      <c r="E14" s="89"/>
      <c r="F14" s="90"/>
    </row>
    <row r="15" spans="1:13" s="2" customFormat="1" ht="15.75" thickBot="1" x14ac:dyDescent="0.3"/>
    <row r="16" spans="1:13" s="2" customFormat="1" ht="15.75" thickBot="1" x14ac:dyDescent="0.3">
      <c r="B16" s="79" t="s">
        <v>14</v>
      </c>
      <c r="C16" s="80"/>
      <c r="D16" s="81"/>
      <c r="E16" s="12"/>
    </row>
    <row r="17" spans="2:11" s="2" customFormat="1" x14ac:dyDescent="0.25">
      <c r="B17" s="11"/>
      <c r="C17" s="11"/>
      <c r="D17" s="11"/>
      <c r="E17" s="11"/>
    </row>
    <row r="18" spans="2:11" s="2" customFormat="1" ht="15.75" thickBot="1" x14ac:dyDescent="0.3">
      <c r="B18" s="11"/>
      <c r="C18" s="11"/>
      <c r="D18" s="11"/>
      <c r="E18" s="11"/>
    </row>
    <row r="19" spans="2:11" s="5" customFormat="1" ht="12" x14ac:dyDescent="0.2">
      <c r="B19" s="92" t="s">
        <v>72</v>
      </c>
      <c r="C19" s="93"/>
      <c r="D19" s="27"/>
      <c r="E19" s="27"/>
      <c r="F19" s="27"/>
      <c r="G19" s="27"/>
      <c r="H19" s="27"/>
      <c r="I19" s="35"/>
    </row>
    <row r="20" spans="2:11" s="5" customFormat="1" ht="12" x14ac:dyDescent="0.2">
      <c r="B20" s="91" t="s">
        <v>15</v>
      </c>
      <c r="C20" s="91"/>
      <c r="D20" s="56" t="s">
        <v>16</v>
      </c>
      <c r="E20" s="21" t="s">
        <v>15</v>
      </c>
      <c r="F20" s="21" t="s">
        <v>17</v>
      </c>
      <c r="G20" s="21"/>
      <c r="H20" s="21" t="s">
        <v>15</v>
      </c>
      <c r="I20" s="21" t="s">
        <v>18</v>
      </c>
      <c r="K20" s="10"/>
    </row>
    <row r="21" spans="2:11" s="4" customFormat="1" ht="12" x14ac:dyDescent="0.2">
      <c r="B21" s="76" t="s">
        <v>73</v>
      </c>
      <c r="C21" s="76"/>
      <c r="D21" s="32">
        <v>12</v>
      </c>
      <c r="E21" s="51" t="s">
        <v>64</v>
      </c>
      <c r="F21" s="33">
        <v>8.9649999999999994E-2</v>
      </c>
      <c r="G21" s="33"/>
      <c r="H21" s="51" t="s">
        <v>33</v>
      </c>
      <c r="I21" s="33">
        <v>1.26E-2</v>
      </c>
    </row>
    <row r="22" spans="2:11" s="4" customFormat="1" ht="12" x14ac:dyDescent="0.2">
      <c r="B22" s="76" t="s">
        <v>74</v>
      </c>
      <c r="C22" s="76"/>
      <c r="D22" s="32">
        <v>13</v>
      </c>
      <c r="E22" s="51" t="s">
        <v>75</v>
      </c>
      <c r="F22" s="33">
        <v>9.1439999999999994E-2</v>
      </c>
      <c r="G22" s="33"/>
      <c r="H22" s="51" t="s">
        <v>28</v>
      </c>
      <c r="I22" s="22">
        <f>16.95/1000</f>
        <v>1.695E-2</v>
      </c>
    </row>
    <row r="23" spans="2:11" s="4" customFormat="1" ht="12" x14ac:dyDescent="0.2">
      <c r="B23" s="76" t="s">
        <v>76</v>
      </c>
      <c r="C23" s="76"/>
      <c r="D23" s="32">
        <v>23</v>
      </c>
      <c r="E23" s="51" t="s">
        <v>77</v>
      </c>
      <c r="F23" s="33">
        <v>0.13719999999999999</v>
      </c>
      <c r="G23" s="33"/>
      <c r="H23" s="51" t="s">
        <v>68</v>
      </c>
      <c r="I23" s="22">
        <f>31.53/1000</f>
        <v>3.1530000000000002E-2</v>
      </c>
    </row>
    <row r="24" spans="2:11" s="4" customFormat="1" ht="12" x14ac:dyDescent="0.2">
      <c r="B24" s="22"/>
      <c r="C24" s="22"/>
      <c r="D24" s="34"/>
      <c r="E24" s="51" t="s">
        <v>78</v>
      </c>
      <c r="F24" s="33">
        <v>0.17618</v>
      </c>
      <c r="G24" s="33"/>
      <c r="H24" s="53">
        <v>2020</v>
      </c>
      <c r="I24" s="22">
        <f>58.45/1000</f>
        <v>5.8450000000000002E-2</v>
      </c>
    </row>
    <row r="25" spans="2:11" s="4" customFormat="1" ht="12" x14ac:dyDescent="0.2">
      <c r="B25" s="22"/>
      <c r="C25" s="22"/>
      <c r="D25" s="34"/>
      <c r="E25" s="51" t="s">
        <v>79</v>
      </c>
      <c r="F25" s="33">
        <v>0.21382999999999999</v>
      </c>
      <c r="G25" s="33"/>
      <c r="H25" s="47" t="s">
        <v>143</v>
      </c>
      <c r="I25" s="22">
        <v>5.9200000000000003E-2</v>
      </c>
    </row>
    <row r="26" spans="2:11" s="4" customFormat="1" ht="12" x14ac:dyDescent="0.2">
      <c r="B26" s="22"/>
      <c r="C26" s="22"/>
      <c r="D26" s="34"/>
      <c r="E26" s="51" t="s">
        <v>80</v>
      </c>
      <c r="F26" s="33">
        <v>0.25147999999999998</v>
      </c>
      <c r="G26" s="33"/>
      <c r="H26" s="47" t="s">
        <v>133</v>
      </c>
      <c r="I26" s="60">
        <v>7.9200000000000007E-2</v>
      </c>
    </row>
    <row r="27" spans="2:11" s="4" customFormat="1" ht="12" x14ac:dyDescent="0.2">
      <c r="B27" s="22"/>
      <c r="C27" s="22"/>
      <c r="D27" s="34"/>
      <c r="E27" s="51" t="s">
        <v>81</v>
      </c>
      <c r="F27" s="33">
        <v>0.29246</v>
      </c>
      <c r="G27" s="33"/>
      <c r="H27" s="47" t="s">
        <v>136</v>
      </c>
      <c r="I27" s="60">
        <v>9.9202368407999994E-2</v>
      </c>
    </row>
    <row r="28" spans="2:11" s="4" customFormat="1" ht="12" x14ac:dyDescent="0.2">
      <c r="B28" s="22"/>
      <c r="C28" s="22"/>
      <c r="D28" s="34"/>
      <c r="E28" s="51" t="s">
        <v>82</v>
      </c>
      <c r="F28" s="33">
        <v>0.33</v>
      </c>
      <c r="G28" s="33"/>
      <c r="H28" s="51" t="s">
        <v>141</v>
      </c>
      <c r="I28" s="22">
        <v>0.11920172822999998</v>
      </c>
    </row>
    <row r="29" spans="2:11" s="4" customFormat="1" ht="12" x14ac:dyDescent="0.2">
      <c r="B29" s="22"/>
      <c r="C29" s="22"/>
      <c r="D29" s="34"/>
      <c r="E29" s="51" t="s">
        <v>140</v>
      </c>
      <c r="F29" s="33">
        <v>0.33</v>
      </c>
      <c r="G29" s="33"/>
      <c r="H29" s="51" t="s">
        <v>139</v>
      </c>
      <c r="I29" s="22">
        <v>0.13920108805199999</v>
      </c>
    </row>
    <row r="30" spans="2:11" s="4" customFormat="1" ht="12" x14ac:dyDescent="0.2">
      <c r="B30" s="22"/>
      <c r="C30" s="22"/>
      <c r="D30" s="34"/>
      <c r="E30" s="51"/>
      <c r="F30" s="33"/>
      <c r="G30" s="33"/>
      <c r="H30" s="51" t="s">
        <v>146</v>
      </c>
      <c r="I30" s="22">
        <v>0.13920108805199999</v>
      </c>
    </row>
    <row r="31" spans="2:11" s="4" customFormat="1" ht="12" x14ac:dyDescent="0.2">
      <c r="B31" s="22"/>
      <c r="C31" s="22"/>
      <c r="D31" s="22"/>
      <c r="E31" s="22"/>
      <c r="F31" s="22"/>
      <c r="G31" s="22"/>
      <c r="H31" s="51" t="s">
        <v>149</v>
      </c>
      <c r="I31" s="22">
        <v>0.16919999999999999</v>
      </c>
    </row>
    <row r="32" spans="2:11" s="4" customFormat="1" ht="12" x14ac:dyDescent="0.2">
      <c r="B32" s="22"/>
      <c r="C32" s="22"/>
      <c r="D32" s="22"/>
      <c r="E32" s="22"/>
      <c r="F32" s="22"/>
      <c r="G32" s="22"/>
      <c r="H32" s="51" t="s">
        <v>150</v>
      </c>
      <c r="I32" s="22">
        <v>0.18420150379800002</v>
      </c>
    </row>
    <row r="33" spans="2:9" s="4" customFormat="1" ht="12" x14ac:dyDescent="0.2">
      <c r="B33" s="22"/>
      <c r="C33" s="22"/>
      <c r="D33" s="22"/>
      <c r="E33" s="22"/>
      <c r="F33" s="22"/>
      <c r="G33" s="22"/>
      <c r="H33" s="47" t="s">
        <v>151</v>
      </c>
      <c r="I33" s="22">
        <v>0.20046382199999999</v>
      </c>
    </row>
    <row r="34" spans="2:9" s="4" customFormat="1" ht="12" x14ac:dyDescent="0.2">
      <c r="B34" s="22"/>
      <c r="C34" s="22"/>
      <c r="D34" s="22"/>
      <c r="E34" s="22"/>
      <c r="F34" s="22"/>
      <c r="G34" s="22"/>
      <c r="H34" s="47">
        <v>45658</v>
      </c>
      <c r="I34" s="22">
        <v>0.16679332449000001</v>
      </c>
    </row>
    <row r="35" spans="2:9" s="4" customFormat="1" ht="12" x14ac:dyDescent="0.2">
      <c r="B35" s="22"/>
      <c r="C35" s="22"/>
      <c r="D35" s="22"/>
      <c r="E35" s="22"/>
      <c r="F35" s="22"/>
      <c r="G35" s="22"/>
      <c r="H35" s="47">
        <v>46023</v>
      </c>
      <c r="I35" s="22">
        <v>0.17334060000000001</v>
      </c>
    </row>
    <row r="36" spans="2:9" s="4" customFormat="1" x14ac:dyDescent="0.25">
      <c r="B36" s="38"/>
      <c r="C36" s="38"/>
      <c r="D36" s="38"/>
      <c r="E36" s="38"/>
      <c r="F36" s="39"/>
      <c r="G36" s="38"/>
      <c r="H36" s="38"/>
      <c r="I36" s="38"/>
    </row>
    <row r="37" spans="2:9" s="4" customFormat="1" x14ac:dyDescent="0.25">
      <c r="B37" s="38"/>
      <c r="C37" s="38"/>
      <c r="D37" s="38"/>
      <c r="E37" s="38"/>
      <c r="F37" s="39"/>
      <c r="G37" s="38"/>
      <c r="H37" s="38"/>
      <c r="I37" s="38"/>
    </row>
    <row r="38" spans="2:9" s="4" customFormat="1" x14ac:dyDescent="0.25">
      <c r="B38" s="38"/>
      <c r="C38" s="38"/>
      <c r="D38" s="38"/>
      <c r="E38" s="38"/>
      <c r="F38" s="39"/>
      <c r="G38" s="38"/>
      <c r="H38" s="38"/>
      <c r="I38" s="38"/>
    </row>
    <row r="39" spans="2:9" s="4" customFormat="1" x14ac:dyDescent="0.25">
      <c r="B39" s="38"/>
      <c r="C39" s="38"/>
      <c r="D39" s="38"/>
      <c r="E39" s="38"/>
      <c r="F39" s="39"/>
      <c r="G39" s="38"/>
      <c r="H39" s="38"/>
      <c r="I39" s="38"/>
    </row>
    <row r="40" spans="2:9" s="4" customFormat="1" x14ac:dyDescent="0.25">
      <c r="B40" s="38"/>
      <c r="C40" s="38"/>
      <c r="D40" s="38"/>
      <c r="E40" s="38"/>
      <c r="F40" s="39"/>
      <c r="G40" s="38"/>
      <c r="H40" s="38"/>
      <c r="I40" s="38"/>
    </row>
    <row r="41" spans="2:9" s="4" customFormat="1" x14ac:dyDescent="0.25">
      <c r="B41" s="38"/>
      <c r="C41" s="38" t="s">
        <v>40</v>
      </c>
      <c r="D41" s="38"/>
      <c r="E41" s="38"/>
      <c r="F41" s="39"/>
      <c r="G41" s="38"/>
      <c r="H41" s="38"/>
      <c r="I41" s="38"/>
    </row>
    <row r="42" spans="2:9" s="4" customFormat="1" x14ac:dyDescent="0.25">
      <c r="B42" s="38"/>
      <c r="C42" s="38" t="s">
        <v>41</v>
      </c>
      <c r="D42" s="38"/>
      <c r="E42" s="38"/>
      <c r="F42" s="39"/>
      <c r="G42" s="38"/>
      <c r="H42" s="38"/>
      <c r="I42" s="38"/>
    </row>
    <row r="43" spans="2:9" s="4" customFormat="1" x14ac:dyDescent="0.25">
      <c r="B43" s="38"/>
      <c r="C43" s="38" t="s">
        <v>42</v>
      </c>
      <c r="D43" s="38"/>
      <c r="E43" s="38"/>
      <c r="F43" s="39"/>
      <c r="G43" s="38"/>
      <c r="H43" s="38"/>
      <c r="I43" s="38"/>
    </row>
    <row r="44" spans="2:9" s="4" customFormat="1" x14ac:dyDescent="0.25">
      <c r="B44" s="38"/>
      <c r="C44" s="38"/>
      <c r="D44" s="38"/>
      <c r="E44" s="38"/>
      <c r="F44" s="39"/>
      <c r="G44" s="38"/>
      <c r="H44" s="38"/>
      <c r="I44" s="38"/>
    </row>
    <row r="45" spans="2:9" s="4" customFormat="1" ht="12" x14ac:dyDescent="0.2">
      <c r="D45" s="3"/>
    </row>
    <row r="46" spans="2:9" s="4" customFormat="1" ht="12" x14ac:dyDescent="0.2">
      <c r="D46" s="3"/>
    </row>
    <row r="48" spans="2:9" x14ac:dyDescent="0.25">
      <c r="E48" s="5"/>
      <c r="F48" s="6"/>
      <c r="G48" s="6"/>
    </row>
    <row r="49" spans="4:9" ht="15.75" thickBot="1" x14ac:dyDescent="0.3"/>
    <row r="50" spans="4:9" ht="75" x14ac:dyDescent="0.25">
      <c r="D50" s="23"/>
      <c r="E50" s="24"/>
      <c r="F50" s="24" t="s">
        <v>43</v>
      </c>
      <c r="G50" s="24"/>
      <c r="H50" s="24" t="s">
        <v>45</v>
      </c>
      <c r="I50" s="25" t="s">
        <v>46</v>
      </c>
    </row>
    <row r="51" spans="4:9" x14ac:dyDescent="0.25">
      <c r="D51" s="47">
        <v>37987</v>
      </c>
      <c r="E51" s="51" t="s">
        <v>64</v>
      </c>
      <c r="F51" s="41">
        <f t="shared" ref="F51:F58" si="0">F21</f>
        <v>8.9649999999999994E-2</v>
      </c>
      <c r="G51" s="41"/>
      <c r="H51" s="41">
        <v>0</v>
      </c>
      <c r="I51" s="54">
        <f t="shared" ref="I51:I64" si="1">SUM(F51,H51)</f>
        <v>8.9649999999999994E-2</v>
      </c>
    </row>
    <row r="52" spans="4:9" x14ac:dyDescent="0.25">
      <c r="D52" s="47">
        <v>38513</v>
      </c>
      <c r="E52" s="51" t="s">
        <v>75</v>
      </c>
      <c r="F52" s="41">
        <f t="shared" si="0"/>
        <v>9.1439999999999994E-2</v>
      </c>
      <c r="G52" s="41"/>
      <c r="H52" s="41">
        <v>0</v>
      </c>
      <c r="I52" s="54">
        <f t="shared" si="1"/>
        <v>9.1439999999999994E-2</v>
      </c>
    </row>
    <row r="53" spans="4:9" x14ac:dyDescent="0.25">
      <c r="D53" s="47">
        <v>39106</v>
      </c>
      <c r="E53" s="51" t="s">
        <v>77</v>
      </c>
      <c r="F53" s="41">
        <f t="shared" si="0"/>
        <v>0.13719999999999999</v>
      </c>
      <c r="G53" s="41"/>
      <c r="H53" s="41">
        <v>0</v>
      </c>
      <c r="I53" s="54">
        <f t="shared" si="1"/>
        <v>0.13719999999999999</v>
      </c>
    </row>
    <row r="54" spans="4:9" x14ac:dyDescent="0.25">
      <c r="D54" s="47">
        <v>39457</v>
      </c>
      <c r="E54" s="51" t="s">
        <v>78</v>
      </c>
      <c r="F54" s="41">
        <f t="shared" si="0"/>
        <v>0.17618</v>
      </c>
      <c r="G54" s="41"/>
      <c r="H54" s="41">
        <v>0</v>
      </c>
      <c r="I54" s="54">
        <f t="shared" si="1"/>
        <v>0.17618</v>
      </c>
    </row>
    <row r="55" spans="4:9" x14ac:dyDescent="0.25">
      <c r="D55" s="47">
        <v>40422</v>
      </c>
      <c r="E55" s="51" t="s">
        <v>79</v>
      </c>
      <c r="F55" s="41">
        <f t="shared" si="0"/>
        <v>0.21382999999999999</v>
      </c>
      <c r="G55" s="41"/>
      <c r="H55" s="41">
        <v>0</v>
      </c>
      <c r="I55" s="54">
        <f t="shared" si="1"/>
        <v>0.21382999999999999</v>
      </c>
    </row>
    <row r="56" spans="4:9" x14ac:dyDescent="0.25">
      <c r="D56" s="47">
        <v>40613</v>
      </c>
      <c r="E56" s="51" t="s">
        <v>80</v>
      </c>
      <c r="F56" s="41">
        <f t="shared" si="0"/>
        <v>0.25147999999999998</v>
      </c>
      <c r="G56" s="41"/>
      <c r="H56" s="41">
        <v>0</v>
      </c>
      <c r="I56" s="54">
        <f t="shared" si="1"/>
        <v>0.25147999999999998</v>
      </c>
    </row>
    <row r="57" spans="4:9" x14ac:dyDescent="0.25">
      <c r="D57" s="47">
        <v>40909</v>
      </c>
      <c r="E57" s="51" t="s">
        <v>81</v>
      </c>
      <c r="F57" s="41">
        <f t="shared" si="0"/>
        <v>0.29246</v>
      </c>
      <c r="G57" s="41"/>
      <c r="H57" s="41">
        <v>0</v>
      </c>
      <c r="I57" s="54">
        <f t="shared" si="1"/>
        <v>0.29246</v>
      </c>
    </row>
    <row r="58" spans="4:9" x14ac:dyDescent="0.25">
      <c r="D58" s="47">
        <v>41333</v>
      </c>
      <c r="E58" s="51" t="s">
        <v>83</v>
      </c>
      <c r="F58" s="41">
        <f t="shared" si="0"/>
        <v>0.33</v>
      </c>
      <c r="G58" s="41"/>
      <c r="H58" s="41">
        <v>0</v>
      </c>
      <c r="I58" s="54">
        <f t="shared" si="1"/>
        <v>0.33</v>
      </c>
    </row>
    <row r="59" spans="4:9" x14ac:dyDescent="0.25">
      <c r="D59" s="47">
        <v>42005</v>
      </c>
      <c r="E59" s="51" t="s">
        <v>84</v>
      </c>
      <c r="F59" s="41">
        <f>F28</f>
        <v>0.33</v>
      </c>
      <c r="G59" s="41"/>
      <c r="H59" s="41">
        <f t="shared" ref="H59:H64" si="2">I21</f>
        <v>1.26E-2</v>
      </c>
      <c r="I59" s="54">
        <f t="shared" si="1"/>
        <v>0.34260000000000002</v>
      </c>
    </row>
    <row r="60" spans="4:9" x14ac:dyDescent="0.25">
      <c r="D60" s="47">
        <v>42736</v>
      </c>
      <c r="E60" s="47">
        <v>42736</v>
      </c>
      <c r="F60" s="41">
        <f>F28</f>
        <v>0.33</v>
      </c>
      <c r="G60" s="41"/>
      <c r="H60" s="41">
        <f t="shared" si="2"/>
        <v>1.695E-2</v>
      </c>
      <c r="I60" s="54">
        <f t="shared" si="1"/>
        <v>0.34695000000000004</v>
      </c>
    </row>
    <row r="61" spans="4:9" x14ac:dyDescent="0.25">
      <c r="D61" s="47" t="s">
        <v>85</v>
      </c>
      <c r="E61" s="47">
        <v>43466</v>
      </c>
      <c r="F61" s="41">
        <f>F28</f>
        <v>0.33</v>
      </c>
      <c r="G61" s="41"/>
      <c r="H61" s="41">
        <f t="shared" si="2"/>
        <v>3.1530000000000002E-2</v>
      </c>
      <c r="I61" s="54">
        <f t="shared" si="1"/>
        <v>0.36153000000000002</v>
      </c>
    </row>
    <row r="62" spans="4:9" x14ac:dyDescent="0.25">
      <c r="D62" s="50">
        <v>2020</v>
      </c>
      <c r="E62" s="50">
        <v>2020</v>
      </c>
      <c r="F62" s="41">
        <f>F28</f>
        <v>0.33</v>
      </c>
      <c r="G62" s="41"/>
      <c r="H62" s="41">
        <f t="shared" si="2"/>
        <v>5.8450000000000002E-2</v>
      </c>
      <c r="I62" s="54">
        <f t="shared" si="1"/>
        <v>0.38845000000000002</v>
      </c>
    </row>
    <row r="63" spans="4:9" x14ac:dyDescent="0.25">
      <c r="D63" s="47" t="s">
        <v>143</v>
      </c>
      <c r="E63" s="47" t="s">
        <v>143</v>
      </c>
      <c r="F63" s="41">
        <f>F28</f>
        <v>0.33</v>
      </c>
      <c r="G63" s="41"/>
      <c r="H63" s="41">
        <f t="shared" si="2"/>
        <v>5.9200000000000003E-2</v>
      </c>
      <c r="I63" s="54">
        <f t="shared" si="1"/>
        <v>0.38919999999999999</v>
      </c>
    </row>
    <row r="64" spans="4:9" x14ac:dyDescent="0.25">
      <c r="D64" s="47" t="s">
        <v>133</v>
      </c>
      <c r="E64" s="47" t="s">
        <v>133</v>
      </c>
      <c r="F64" s="41">
        <f>F28</f>
        <v>0.33</v>
      </c>
      <c r="G64" s="41"/>
      <c r="H64" s="41">
        <f t="shared" si="2"/>
        <v>7.9200000000000007E-2</v>
      </c>
      <c r="I64" s="54">
        <f t="shared" si="1"/>
        <v>0.40920000000000001</v>
      </c>
    </row>
    <row r="65" spans="4:9" x14ac:dyDescent="0.25">
      <c r="D65" s="47" t="s">
        <v>136</v>
      </c>
      <c r="E65" s="47" t="s">
        <v>136</v>
      </c>
      <c r="F65" s="41">
        <f>F28</f>
        <v>0.33</v>
      </c>
      <c r="G65" s="41"/>
      <c r="H65" s="41">
        <f t="shared" ref="H65" si="3">I27</f>
        <v>9.9202368407999994E-2</v>
      </c>
      <c r="I65" s="54">
        <f t="shared" ref="I65" si="4">SUM(F65,H65)</f>
        <v>0.42920236840800002</v>
      </c>
    </row>
    <row r="66" spans="4:9" x14ac:dyDescent="0.25">
      <c r="D66" s="51" t="s">
        <v>141</v>
      </c>
      <c r="E66" s="51" t="s">
        <v>141</v>
      </c>
      <c r="F66" s="41">
        <f>F28</f>
        <v>0.33</v>
      </c>
      <c r="G66" s="41"/>
      <c r="H66" s="41">
        <f t="shared" ref="H66" si="5">I28</f>
        <v>0.11920172822999998</v>
      </c>
      <c r="I66" s="54">
        <f t="shared" ref="I66:I71" si="6">SUM(F66,H66)</f>
        <v>0.44920172822999999</v>
      </c>
    </row>
    <row r="67" spans="4:9" x14ac:dyDescent="0.25">
      <c r="D67" s="51" t="s">
        <v>146</v>
      </c>
      <c r="E67" s="51" t="s">
        <v>146</v>
      </c>
      <c r="F67" s="41">
        <f>F28</f>
        <v>0.33</v>
      </c>
      <c r="G67" s="41"/>
      <c r="H67" s="41">
        <f t="shared" ref="H67" si="7">I29</f>
        <v>0.13920108805199999</v>
      </c>
      <c r="I67" s="54">
        <f t="shared" si="6"/>
        <v>0.469201088052</v>
      </c>
    </row>
    <row r="68" spans="4:9" x14ac:dyDescent="0.25">
      <c r="D68" s="51" t="s">
        <v>149</v>
      </c>
      <c r="E68" s="51" t="s">
        <v>149</v>
      </c>
      <c r="F68" s="41">
        <f>F29</f>
        <v>0.33</v>
      </c>
      <c r="G68" s="41"/>
      <c r="H68" s="41">
        <f>I31</f>
        <v>0.16919999999999999</v>
      </c>
      <c r="I68" s="54">
        <f t="shared" si="6"/>
        <v>0.49919999999999998</v>
      </c>
    </row>
    <row r="69" spans="4:9" x14ac:dyDescent="0.25">
      <c r="D69" s="51" t="s">
        <v>150</v>
      </c>
      <c r="E69" s="51" t="s">
        <v>150</v>
      </c>
      <c r="F69" s="41">
        <f>F29</f>
        <v>0.33</v>
      </c>
      <c r="G69" s="41"/>
      <c r="H69" s="41">
        <f>I32</f>
        <v>0.18420150379800002</v>
      </c>
      <c r="I69" s="54">
        <f t="shared" si="6"/>
        <v>0.514201503798</v>
      </c>
    </row>
    <row r="70" spans="4:9" x14ac:dyDescent="0.25">
      <c r="D70" s="47" t="s">
        <v>151</v>
      </c>
      <c r="E70" s="47" t="s">
        <v>151</v>
      </c>
      <c r="F70" s="41">
        <f>F29</f>
        <v>0.33</v>
      </c>
      <c r="G70" s="41"/>
      <c r="H70" s="41">
        <f>I33</f>
        <v>0.20046382199999999</v>
      </c>
      <c r="I70" s="54">
        <f t="shared" si="6"/>
        <v>0.53046382199999997</v>
      </c>
    </row>
    <row r="71" spans="4:9" x14ac:dyDescent="0.25">
      <c r="D71" s="47">
        <v>45658</v>
      </c>
      <c r="E71" s="47">
        <v>45658</v>
      </c>
      <c r="F71" s="41">
        <f>F29</f>
        <v>0.33</v>
      </c>
      <c r="G71" s="41"/>
      <c r="H71" s="41">
        <f>I34</f>
        <v>0.16679332449000001</v>
      </c>
      <c r="I71" s="54">
        <f t="shared" si="6"/>
        <v>0.49679332449000002</v>
      </c>
    </row>
    <row r="72" spans="4:9" x14ac:dyDescent="0.25">
      <c r="D72" s="47">
        <v>46023</v>
      </c>
      <c r="E72" s="47">
        <v>46023</v>
      </c>
      <c r="F72" s="41">
        <f>F29</f>
        <v>0.33</v>
      </c>
      <c r="G72" s="41"/>
      <c r="H72" s="60">
        <f>I35</f>
        <v>0.17334060000000001</v>
      </c>
      <c r="I72" s="54">
        <f t="shared" ref="I72" si="8">SUM(F72,H72)</f>
        <v>0.50334060000000003</v>
      </c>
    </row>
  </sheetData>
  <mergeCells count="11">
    <mergeCell ref="B10:F10"/>
    <mergeCell ref="B11:F11"/>
    <mergeCell ref="B12:F12"/>
    <mergeCell ref="B13:F13"/>
    <mergeCell ref="B14:F14"/>
    <mergeCell ref="B16:D16"/>
    <mergeCell ref="B20:C20"/>
    <mergeCell ref="B23:C23"/>
    <mergeCell ref="B19:C19"/>
    <mergeCell ref="B21:C21"/>
    <mergeCell ref="B22:C22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8"/>
  <sheetViews>
    <sheetView topLeftCell="A28" zoomScale="70" zoomScaleNormal="70" workbookViewId="0">
      <selection activeCell="J35" sqref="J35"/>
    </sheetView>
  </sheetViews>
  <sheetFormatPr defaultRowHeight="15" x14ac:dyDescent="0.25"/>
  <cols>
    <col min="1" max="1" width="14" bestFit="1" customWidth="1"/>
    <col min="2" max="2" width="9.140625" style="2"/>
    <col min="3" max="3" width="12.85546875" style="2" customWidth="1"/>
    <col min="4" max="4" width="26.7109375" style="2" customWidth="1"/>
    <col min="5" max="5" width="25.7109375" style="2" customWidth="1"/>
    <col min="6" max="6" width="10.42578125" style="2" bestFit="1" customWidth="1"/>
    <col min="7" max="7" width="19.140625" style="2" bestFit="1" customWidth="1"/>
    <col min="8" max="8" width="11.28515625" style="2" customWidth="1"/>
    <col min="9" max="9" width="18.28515625" style="2" bestFit="1" customWidth="1"/>
    <col min="10" max="10" width="14.85546875" style="2" customWidth="1"/>
    <col min="11" max="11" width="9.140625" style="2"/>
  </cols>
  <sheetData>
    <row r="1" spans="1:12" x14ac:dyDescent="0.25">
      <c r="A1" s="36">
        <v>39</v>
      </c>
    </row>
    <row r="2" spans="1:12" x14ac:dyDescent="0.25">
      <c r="A2" s="36" t="s">
        <v>0</v>
      </c>
      <c r="B2" s="37" t="s">
        <v>86</v>
      </c>
    </row>
    <row r="3" spans="1:12" x14ac:dyDescent="0.25">
      <c r="A3" s="36" t="s">
        <v>2</v>
      </c>
      <c r="B3" s="37" t="s">
        <v>160</v>
      </c>
    </row>
    <row r="4" spans="1:12" x14ac:dyDescent="0.25">
      <c r="A4" s="36" t="s">
        <v>3</v>
      </c>
      <c r="B4" s="37" t="s">
        <v>4</v>
      </c>
    </row>
    <row r="5" spans="1:12" x14ac:dyDescent="0.25">
      <c r="A5" s="36" t="s">
        <v>5</v>
      </c>
      <c r="B5" s="37" t="s">
        <v>87</v>
      </c>
    </row>
    <row r="6" spans="1:12" x14ac:dyDescent="0.25">
      <c r="A6" s="36" t="s">
        <v>7</v>
      </c>
      <c r="B6" s="37"/>
    </row>
    <row r="7" spans="1:12" x14ac:dyDescent="0.25">
      <c r="A7" s="36" t="s">
        <v>8</v>
      </c>
      <c r="B7" s="37">
        <v>5</v>
      </c>
    </row>
    <row r="9" spans="1:12" ht="15.75" thickBot="1" x14ac:dyDescent="0.3">
      <c r="L9" s="2"/>
    </row>
    <row r="10" spans="1:12" s="2" customFormat="1" x14ac:dyDescent="0.25">
      <c r="B10" s="82" t="s">
        <v>9</v>
      </c>
      <c r="C10" s="83"/>
      <c r="D10" s="83"/>
      <c r="E10" s="83"/>
      <c r="F10" s="84"/>
    </row>
    <row r="11" spans="1:12" s="2" customFormat="1" x14ac:dyDescent="0.25">
      <c r="B11" s="85" t="s">
        <v>10</v>
      </c>
      <c r="C11" s="86"/>
      <c r="D11" s="86"/>
      <c r="E11" s="86"/>
      <c r="F11" s="87"/>
    </row>
    <row r="12" spans="1:12" s="2" customFormat="1" x14ac:dyDescent="0.25">
      <c r="B12" s="85" t="s">
        <v>11</v>
      </c>
      <c r="C12" s="86"/>
      <c r="D12" s="86"/>
      <c r="E12" s="86"/>
      <c r="F12" s="87"/>
    </row>
    <row r="13" spans="1:12" s="2" customFormat="1" x14ac:dyDescent="0.25">
      <c r="B13" s="85" t="s">
        <v>12</v>
      </c>
      <c r="C13" s="86"/>
      <c r="D13" s="86"/>
      <c r="E13" s="86"/>
      <c r="F13" s="87"/>
    </row>
    <row r="14" spans="1:12" s="2" customFormat="1" ht="15.75" thickBot="1" x14ac:dyDescent="0.3">
      <c r="B14" s="88" t="s">
        <v>13</v>
      </c>
      <c r="C14" s="89"/>
      <c r="D14" s="89"/>
      <c r="E14" s="89"/>
      <c r="F14" s="90"/>
    </row>
    <row r="15" spans="1:12" s="2" customFormat="1" ht="15.75" thickBot="1" x14ac:dyDescent="0.3"/>
    <row r="16" spans="1:12" s="2" customFormat="1" ht="15.75" thickBot="1" x14ac:dyDescent="0.3">
      <c r="B16" s="79" t="s">
        <v>14</v>
      </c>
      <c r="C16" s="80"/>
      <c r="D16" s="81"/>
      <c r="E16" s="11"/>
    </row>
    <row r="17" spans="2:11" s="2" customFormat="1" x14ac:dyDescent="0.25">
      <c r="B17" s="11"/>
      <c r="C17" s="11"/>
      <c r="D17" s="11"/>
      <c r="E17" s="11"/>
    </row>
    <row r="18" spans="2:11" s="2" customFormat="1" ht="15.75" thickBot="1" x14ac:dyDescent="0.3">
      <c r="B18" s="11"/>
      <c r="C18" s="11"/>
      <c r="D18" s="11"/>
      <c r="E18" s="11"/>
    </row>
    <row r="19" spans="2:11" s="5" customFormat="1" ht="12.75" thickBot="1" x14ac:dyDescent="0.25">
      <c r="B19" s="74" t="s">
        <v>88</v>
      </c>
      <c r="C19" s="75"/>
      <c r="D19" s="64"/>
      <c r="E19" s="64"/>
      <c r="F19" s="64"/>
      <c r="G19" s="64"/>
      <c r="H19" s="64"/>
      <c r="I19" s="64"/>
      <c r="J19" s="65"/>
    </row>
    <row r="20" spans="2:11" s="5" customFormat="1" ht="12" x14ac:dyDescent="0.2">
      <c r="B20" s="77" t="s">
        <v>15</v>
      </c>
      <c r="C20" s="78"/>
      <c r="D20" s="57" t="s">
        <v>16</v>
      </c>
      <c r="E20" s="57" t="s">
        <v>15</v>
      </c>
      <c r="F20" s="57" t="s">
        <v>89</v>
      </c>
      <c r="G20" s="57" t="s">
        <v>15</v>
      </c>
      <c r="H20" s="57" t="s">
        <v>90</v>
      </c>
      <c r="I20" s="57" t="s">
        <v>15</v>
      </c>
      <c r="J20" s="45" t="s">
        <v>91</v>
      </c>
    </row>
    <row r="21" spans="2:11" s="4" customFormat="1" ht="12" x14ac:dyDescent="0.2">
      <c r="B21" s="94" t="s">
        <v>92</v>
      </c>
      <c r="C21" s="76"/>
      <c r="D21" s="15">
        <v>19</v>
      </c>
      <c r="E21" s="51" t="s">
        <v>93</v>
      </c>
      <c r="F21" s="16">
        <v>0.1</v>
      </c>
      <c r="G21" s="51" t="s">
        <v>31</v>
      </c>
      <c r="H21" s="51">
        <v>0.10299999999999999</v>
      </c>
      <c r="I21" s="51" t="s">
        <v>94</v>
      </c>
      <c r="J21" s="18">
        <v>1.477E-2</v>
      </c>
      <c r="K21" s="5"/>
    </row>
    <row r="22" spans="2:11" s="4" customFormat="1" ht="12" x14ac:dyDescent="0.2">
      <c r="B22" s="94" t="s">
        <v>21</v>
      </c>
      <c r="C22" s="76"/>
      <c r="D22" s="15">
        <v>21</v>
      </c>
      <c r="E22" s="51" t="s">
        <v>95</v>
      </c>
      <c r="F22" s="16">
        <v>0.10199999999999999</v>
      </c>
      <c r="G22" s="51" t="s">
        <v>96</v>
      </c>
      <c r="H22" s="51">
        <v>0.123</v>
      </c>
      <c r="I22" s="51" t="s">
        <v>97</v>
      </c>
      <c r="J22" s="18">
        <v>1.9359999999999999E-2</v>
      </c>
      <c r="K22" s="5"/>
    </row>
    <row r="23" spans="2:11" s="4" customFormat="1" ht="12" x14ac:dyDescent="0.2">
      <c r="B23" s="94" t="s">
        <v>25</v>
      </c>
      <c r="C23" s="76"/>
      <c r="D23" s="15">
        <v>20</v>
      </c>
      <c r="E23" s="51" t="s">
        <v>98</v>
      </c>
      <c r="F23" s="16">
        <v>0.10435</v>
      </c>
      <c r="G23" s="51"/>
      <c r="H23" s="51"/>
      <c r="I23" s="51" t="s">
        <v>54</v>
      </c>
      <c r="J23" s="18">
        <f>19.88/1000</f>
        <v>1.9879999999999998E-2</v>
      </c>
      <c r="K23" s="5"/>
    </row>
    <row r="24" spans="2:11" s="4" customFormat="1" ht="12" x14ac:dyDescent="0.2">
      <c r="B24" s="94" t="s">
        <v>29</v>
      </c>
      <c r="C24" s="76"/>
      <c r="D24" s="15">
        <v>21</v>
      </c>
      <c r="E24" s="51" t="s">
        <v>99</v>
      </c>
      <c r="F24" s="16">
        <v>0.10654</v>
      </c>
      <c r="G24" s="51"/>
      <c r="H24" s="51"/>
      <c r="I24" s="51" t="s">
        <v>37</v>
      </c>
      <c r="J24" s="18">
        <f>36.98/1000</f>
        <v>3.6979999999999999E-2</v>
      </c>
      <c r="K24" s="5"/>
    </row>
    <row r="25" spans="2:11" s="4" customFormat="1" ht="12" x14ac:dyDescent="0.2">
      <c r="B25" s="94" t="s">
        <v>32</v>
      </c>
      <c r="C25" s="76"/>
      <c r="D25" s="15">
        <v>23</v>
      </c>
      <c r="E25" s="51" t="s">
        <v>100</v>
      </c>
      <c r="F25" s="16">
        <v>0.10878</v>
      </c>
      <c r="G25" s="51"/>
      <c r="H25" s="51"/>
      <c r="I25" s="51">
        <v>2020</v>
      </c>
      <c r="J25" s="18">
        <f>68.56/1000</f>
        <v>6.8559999999999996E-2</v>
      </c>
      <c r="K25" s="5"/>
    </row>
    <row r="26" spans="2:11" s="4" customFormat="1" ht="12" x14ac:dyDescent="0.2">
      <c r="B26" s="55"/>
      <c r="C26" s="51"/>
      <c r="D26" s="51"/>
      <c r="E26" s="51" t="s">
        <v>101</v>
      </c>
      <c r="F26" s="16">
        <v>0.10965</v>
      </c>
      <c r="G26" s="51"/>
      <c r="H26" s="51"/>
      <c r="I26" s="47" t="s">
        <v>135</v>
      </c>
      <c r="J26" s="18">
        <v>6.9430000000000006E-2</v>
      </c>
      <c r="K26" s="5"/>
    </row>
    <row r="27" spans="2:11" s="4" customFormat="1" ht="12" x14ac:dyDescent="0.2">
      <c r="B27" s="55"/>
      <c r="C27" s="51"/>
      <c r="D27" s="51"/>
      <c r="E27" s="51" t="s">
        <v>102</v>
      </c>
      <c r="F27" s="16">
        <v>0.125</v>
      </c>
      <c r="G27" s="51"/>
      <c r="H27" s="51"/>
      <c r="I27" s="47" t="s">
        <v>133</v>
      </c>
      <c r="J27" s="28">
        <v>9.2889005199999999E-2</v>
      </c>
      <c r="K27" s="5"/>
    </row>
    <row r="28" spans="2:11" s="4" customFormat="1" ht="12" x14ac:dyDescent="0.2">
      <c r="B28" s="55"/>
      <c r="C28" s="51"/>
      <c r="D28" s="51"/>
      <c r="E28" s="51" t="s">
        <v>103</v>
      </c>
      <c r="F28" s="16">
        <v>0.12787999999999999</v>
      </c>
      <c r="G28" s="51"/>
      <c r="H28" s="51"/>
      <c r="I28" s="47" t="s">
        <v>136</v>
      </c>
      <c r="J28" s="18">
        <v>0.1163478184</v>
      </c>
      <c r="K28" s="5"/>
    </row>
    <row r="29" spans="2:11" s="4" customFormat="1" ht="12" x14ac:dyDescent="0.2">
      <c r="B29" s="55"/>
      <c r="C29" s="51"/>
      <c r="D29" s="51"/>
      <c r="E29" s="22" t="s">
        <v>36</v>
      </c>
      <c r="F29" s="16">
        <f>131.72/1000</f>
        <v>0.13172</v>
      </c>
      <c r="G29" s="16"/>
      <c r="H29" s="51"/>
      <c r="I29" s="51" t="s">
        <v>141</v>
      </c>
      <c r="J29" s="18">
        <v>0.13980372900000002</v>
      </c>
      <c r="K29" s="5"/>
    </row>
    <row r="30" spans="2:11" x14ac:dyDescent="0.25">
      <c r="B30" s="55"/>
      <c r="C30" s="51"/>
      <c r="D30" s="51"/>
      <c r="E30" s="22" t="s">
        <v>152</v>
      </c>
      <c r="F30" s="16">
        <v>0.13356000000000001</v>
      </c>
      <c r="G30" s="16"/>
      <c r="H30" s="51"/>
      <c r="I30" s="51" t="s">
        <v>146</v>
      </c>
      <c r="J30" s="18">
        <v>0.16325963960000001</v>
      </c>
    </row>
    <row r="31" spans="2:11" x14ac:dyDescent="0.25">
      <c r="B31" s="51"/>
      <c r="C31" s="51"/>
      <c r="D31" s="51"/>
      <c r="E31" s="22"/>
      <c r="F31" s="16"/>
      <c r="G31" s="16"/>
      <c r="H31" s="51"/>
      <c r="I31" s="51" t="s">
        <v>149</v>
      </c>
      <c r="J31" s="51">
        <v>0.19844000000000001</v>
      </c>
    </row>
    <row r="32" spans="2:11" x14ac:dyDescent="0.25">
      <c r="B32" s="51"/>
      <c r="C32" s="51"/>
      <c r="D32" s="51"/>
      <c r="F32" s="16"/>
      <c r="G32" s="16"/>
      <c r="H32" s="51"/>
      <c r="I32" s="51" t="s">
        <v>150</v>
      </c>
      <c r="J32" s="51">
        <v>0.21603761539999999</v>
      </c>
    </row>
    <row r="33" spans="2:10" x14ac:dyDescent="0.25">
      <c r="B33" s="51"/>
      <c r="C33" s="51"/>
      <c r="D33" s="51"/>
      <c r="E33" s="22"/>
      <c r="F33" s="16"/>
      <c r="G33" s="16"/>
      <c r="H33" s="51"/>
      <c r="I33" s="47" t="s">
        <v>151</v>
      </c>
      <c r="J33" s="51">
        <v>0.2351106</v>
      </c>
    </row>
    <row r="34" spans="2:10" x14ac:dyDescent="0.25">
      <c r="B34" s="51"/>
      <c r="C34" s="51"/>
      <c r="D34" s="51"/>
      <c r="E34" s="22"/>
      <c r="F34" s="16"/>
      <c r="G34" s="16"/>
      <c r="H34" s="51"/>
      <c r="I34" s="47">
        <v>45658</v>
      </c>
      <c r="J34" s="20">
        <v>0.19562072699999999</v>
      </c>
    </row>
    <row r="35" spans="2:10" x14ac:dyDescent="0.25">
      <c r="B35" s="51"/>
      <c r="C35" s="51"/>
      <c r="D35" s="51"/>
      <c r="E35" s="22"/>
      <c r="F35" s="16"/>
      <c r="G35" s="16"/>
      <c r="H35" s="51"/>
      <c r="I35" s="47">
        <v>46023</v>
      </c>
      <c r="J35" s="20">
        <v>0.20329955529999999</v>
      </c>
    </row>
    <row r="36" spans="2:10" x14ac:dyDescent="0.25">
      <c r="B36" s="38"/>
      <c r="C36" s="38"/>
      <c r="D36" s="38"/>
      <c r="E36" s="38"/>
      <c r="F36" s="39"/>
      <c r="G36" s="38"/>
      <c r="H36" s="38"/>
      <c r="I36" s="38"/>
      <c r="J36" s="38"/>
    </row>
    <row r="37" spans="2:10" x14ac:dyDescent="0.25">
      <c r="B37" s="38"/>
      <c r="C37" s="38"/>
      <c r="D37" s="38"/>
      <c r="E37" s="38"/>
      <c r="F37" s="39"/>
      <c r="G37" s="38"/>
      <c r="H37" s="38"/>
      <c r="I37" s="38"/>
      <c r="J37" s="38"/>
    </row>
    <row r="38" spans="2:10" x14ac:dyDescent="0.25">
      <c r="B38" s="38"/>
      <c r="C38" s="38"/>
      <c r="D38" s="38"/>
      <c r="E38" s="38"/>
      <c r="F38" s="39"/>
      <c r="G38" s="38"/>
      <c r="H38" s="38"/>
      <c r="I38" s="38"/>
      <c r="J38" s="38"/>
    </row>
    <row r="39" spans="2:10" x14ac:dyDescent="0.25">
      <c r="B39" s="38"/>
      <c r="C39" s="38"/>
      <c r="D39" s="38"/>
      <c r="E39" s="38"/>
      <c r="F39" s="39"/>
      <c r="G39" s="38"/>
      <c r="H39" s="38"/>
      <c r="I39" s="38"/>
      <c r="J39" s="38"/>
    </row>
    <row r="40" spans="2:10" x14ac:dyDescent="0.25">
      <c r="B40" s="38"/>
      <c r="C40" s="38"/>
      <c r="D40" s="38"/>
      <c r="E40" s="38"/>
      <c r="F40" s="39"/>
      <c r="G40" s="38"/>
      <c r="H40" s="38"/>
      <c r="I40" s="38"/>
      <c r="J40" s="38"/>
    </row>
    <row r="41" spans="2:10" x14ac:dyDescent="0.25">
      <c r="B41" s="38"/>
      <c r="C41" s="38"/>
      <c r="D41" s="38"/>
      <c r="E41" s="38"/>
      <c r="F41" s="39"/>
      <c r="G41" s="38"/>
      <c r="H41" s="38"/>
      <c r="I41" s="38"/>
      <c r="J41" s="38"/>
    </row>
    <row r="42" spans="2:10" x14ac:dyDescent="0.25">
      <c r="B42" s="38"/>
      <c r="C42" s="38" t="s">
        <v>40</v>
      </c>
      <c r="D42" s="38"/>
      <c r="E42" s="38"/>
      <c r="F42" s="39"/>
      <c r="G42" s="38"/>
      <c r="H42" s="38"/>
      <c r="I42" s="38"/>
      <c r="J42" s="38"/>
    </row>
    <row r="43" spans="2:10" x14ac:dyDescent="0.25">
      <c r="B43" s="38"/>
      <c r="C43" s="38" t="s">
        <v>41</v>
      </c>
      <c r="D43" s="38"/>
      <c r="E43" s="38"/>
      <c r="F43" s="39"/>
      <c r="G43" s="38"/>
      <c r="H43" s="38"/>
      <c r="I43" s="38"/>
      <c r="J43" s="38"/>
    </row>
    <row r="44" spans="2:10" x14ac:dyDescent="0.25">
      <c r="B44" s="38"/>
      <c r="C44" s="38" t="s">
        <v>42</v>
      </c>
      <c r="D44" s="38"/>
      <c r="E44" s="38"/>
      <c r="F44" s="39"/>
      <c r="G44" s="38"/>
      <c r="H44" s="38"/>
      <c r="I44" s="38"/>
      <c r="J44" s="38"/>
    </row>
    <row r="45" spans="2:10" x14ac:dyDescent="0.25">
      <c r="B45" s="38"/>
      <c r="C45" s="38"/>
      <c r="D45" s="38"/>
      <c r="E45" s="38"/>
      <c r="F45" s="39"/>
      <c r="G45" s="38"/>
      <c r="H45" s="38"/>
    </row>
    <row r="47" spans="2:10" x14ac:dyDescent="0.25">
      <c r="E47" s="5"/>
      <c r="F47" s="8"/>
    </row>
    <row r="48" spans="2:10" x14ac:dyDescent="0.25">
      <c r="G48" s="9"/>
    </row>
    <row r="49" spans="4:9" ht="15.75" thickBot="1" x14ac:dyDescent="0.3"/>
    <row r="50" spans="4:9" ht="75" x14ac:dyDescent="0.25">
      <c r="D50" s="23"/>
      <c r="E50" s="24"/>
      <c r="F50" s="24" t="s">
        <v>43</v>
      </c>
      <c r="G50" s="24" t="s">
        <v>44</v>
      </c>
      <c r="H50" s="24" t="s">
        <v>45</v>
      </c>
      <c r="I50" s="25" t="s">
        <v>46</v>
      </c>
    </row>
    <row r="51" spans="4:9" x14ac:dyDescent="0.25">
      <c r="D51" s="47">
        <v>37987</v>
      </c>
      <c r="E51" s="51" t="s">
        <v>93</v>
      </c>
      <c r="F51" s="16">
        <f>F21</f>
        <v>0.1</v>
      </c>
      <c r="G51" s="40">
        <v>0</v>
      </c>
      <c r="H51" s="40">
        <v>0</v>
      </c>
      <c r="I51" s="40">
        <f>F51+G51+H51</f>
        <v>0.1</v>
      </c>
    </row>
    <row r="52" spans="4:9" x14ac:dyDescent="0.25">
      <c r="D52" s="47">
        <v>38353</v>
      </c>
      <c r="E52" s="51" t="s">
        <v>95</v>
      </c>
      <c r="F52" s="16">
        <f>F22</f>
        <v>0.10199999999999999</v>
      </c>
      <c r="G52" s="40">
        <v>0</v>
      </c>
      <c r="H52" s="40">
        <v>0</v>
      </c>
      <c r="I52" s="40">
        <f t="shared" ref="I52:I70" si="0">F52+G52+H52</f>
        <v>0.10199999999999999</v>
      </c>
    </row>
    <row r="53" spans="4:9" x14ac:dyDescent="0.25">
      <c r="D53" s="47">
        <v>38718</v>
      </c>
      <c r="E53" s="51" t="s">
        <v>98</v>
      </c>
      <c r="F53" s="16">
        <f t="shared" ref="F53:F57" si="1">F23</f>
        <v>0.10435</v>
      </c>
      <c r="G53" s="40">
        <v>0</v>
      </c>
      <c r="H53" s="40">
        <v>0</v>
      </c>
      <c r="I53" s="40">
        <f t="shared" si="0"/>
        <v>0.10435</v>
      </c>
    </row>
    <row r="54" spans="4:9" x14ac:dyDescent="0.25">
      <c r="D54" s="47">
        <v>39083</v>
      </c>
      <c r="E54" s="51" t="s">
        <v>99</v>
      </c>
      <c r="F54" s="16">
        <f t="shared" si="1"/>
        <v>0.10654</v>
      </c>
      <c r="G54" s="40">
        <v>0</v>
      </c>
      <c r="H54" s="40">
        <v>0</v>
      </c>
      <c r="I54" s="40">
        <f t="shared" si="0"/>
        <v>0.10654</v>
      </c>
    </row>
    <row r="55" spans="4:9" x14ac:dyDescent="0.25">
      <c r="D55" s="47">
        <v>39448</v>
      </c>
      <c r="E55" s="51" t="s">
        <v>100</v>
      </c>
      <c r="F55" s="16">
        <f t="shared" si="1"/>
        <v>0.10878</v>
      </c>
      <c r="G55" s="40">
        <v>0</v>
      </c>
      <c r="H55" s="40">
        <v>0</v>
      </c>
      <c r="I55" s="40">
        <f t="shared" si="0"/>
        <v>0.10878</v>
      </c>
    </row>
    <row r="56" spans="4:9" x14ac:dyDescent="0.25">
      <c r="D56" s="47">
        <v>40179</v>
      </c>
      <c r="E56" s="51" t="s">
        <v>101</v>
      </c>
      <c r="F56" s="16">
        <f t="shared" si="1"/>
        <v>0.10965</v>
      </c>
      <c r="G56" s="40">
        <v>0</v>
      </c>
      <c r="H56" s="40">
        <v>0</v>
      </c>
      <c r="I56" s="40">
        <f t="shared" si="0"/>
        <v>0.10965</v>
      </c>
    </row>
    <row r="57" spans="4:9" x14ac:dyDescent="0.25">
      <c r="D57" s="47">
        <v>40544</v>
      </c>
      <c r="E57" s="51" t="s">
        <v>102</v>
      </c>
      <c r="F57" s="16">
        <f t="shared" si="1"/>
        <v>0.125</v>
      </c>
      <c r="G57" s="40">
        <v>0</v>
      </c>
      <c r="H57" s="40">
        <v>0</v>
      </c>
      <c r="I57" s="40">
        <f t="shared" si="0"/>
        <v>0.125</v>
      </c>
    </row>
    <row r="58" spans="4:9" x14ac:dyDescent="0.25">
      <c r="D58" s="47">
        <v>40909</v>
      </c>
      <c r="E58" s="51" t="s">
        <v>104</v>
      </c>
      <c r="F58" s="16">
        <f>F28</f>
        <v>0.12787999999999999</v>
      </c>
      <c r="G58" s="40">
        <v>0</v>
      </c>
      <c r="H58" s="40">
        <v>0</v>
      </c>
      <c r="I58" s="40">
        <f t="shared" si="0"/>
        <v>0.12787999999999999</v>
      </c>
    </row>
    <row r="59" spans="4:9" x14ac:dyDescent="0.25">
      <c r="D59" s="47">
        <v>41640</v>
      </c>
      <c r="E59" s="51" t="s">
        <v>31</v>
      </c>
      <c r="F59" s="16">
        <f>F28</f>
        <v>0.12787999999999999</v>
      </c>
      <c r="G59" s="40">
        <f>H21</f>
        <v>0.10299999999999999</v>
      </c>
      <c r="H59" s="40">
        <v>0</v>
      </c>
      <c r="I59" s="40">
        <f t="shared" si="0"/>
        <v>0.23087999999999997</v>
      </c>
    </row>
    <row r="60" spans="4:9" x14ac:dyDescent="0.25">
      <c r="D60" s="47">
        <v>42005</v>
      </c>
      <c r="E60" s="51" t="s">
        <v>20</v>
      </c>
      <c r="F60" s="16">
        <f>F28</f>
        <v>0.12787999999999999</v>
      </c>
      <c r="G60" s="40">
        <f>H22</f>
        <v>0.123</v>
      </c>
      <c r="H60" s="40">
        <f>J21</f>
        <v>1.477E-2</v>
      </c>
      <c r="I60" s="40">
        <f t="shared" si="0"/>
        <v>0.26565</v>
      </c>
    </row>
    <row r="61" spans="4:9" x14ac:dyDescent="0.25">
      <c r="D61" s="47">
        <v>42370</v>
      </c>
      <c r="E61" s="51" t="s">
        <v>105</v>
      </c>
      <c r="F61" s="16">
        <f>F28</f>
        <v>0.12787999999999999</v>
      </c>
      <c r="G61" s="40">
        <f>H22</f>
        <v>0.123</v>
      </c>
      <c r="H61" s="40">
        <f>J22</f>
        <v>1.9359999999999999E-2</v>
      </c>
      <c r="I61" s="40">
        <f t="shared" si="0"/>
        <v>0.27023999999999998</v>
      </c>
    </row>
    <row r="62" spans="4:9" x14ac:dyDescent="0.25">
      <c r="D62" s="47">
        <v>42736</v>
      </c>
      <c r="E62" s="51" t="s">
        <v>36</v>
      </c>
      <c r="F62" s="16">
        <f>F29</f>
        <v>0.13172</v>
      </c>
      <c r="G62" s="40">
        <f>H22</f>
        <v>0.123</v>
      </c>
      <c r="H62" s="40">
        <f>J23</f>
        <v>1.9879999999999998E-2</v>
      </c>
      <c r="I62" s="40">
        <f t="shared" si="0"/>
        <v>0.27460000000000001</v>
      </c>
    </row>
    <row r="63" spans="4:9" x14ac:dyDescent="0.25">
      <c r="D63" s="47">
        <v>43101</v>
      </c>
      <c r="E63" s="47">
        <v>43101</v>
      </c>
      <c r="F63" s="16">
        <f>F30</f>
        <v>0.13356000000000001</v>
      </c>
      <c r="G63" s="40">
        <f>H22</f>
        <v>0.123</v>
      </c>
      <c r="H63" s="40">
        <f t="shared" ref="H63:H65" si="2">J23</f>
        <v>1.9879999999999998E-2</v>
      </c>
      <c r="I63" s="40">
        <f t="shared" si="0"/>
        <v>0.27644000000000002</v>
      </c>
    </row>
    <row r="64" spans="4:9" x14ac:dyDescent="0.25">
      <c r="D64" s="47" t="s">
        <v>37</v>
      </c>
      <c r="E64" s="51" t="s">
        <v>37</v>
      </c>
      <c r="F64" s="16">
        <f>F30</f>
        <v>0.13356000000000001</v>
      </c>
      <c r="G64" s="40">
        <f>H22</f>
        <v>0.123</v>
      </c>
      <c r="H64" s="40">
        <f t="shared" si="2"/>
        <v>3.6979999999999999E-2</v>
      </c>
      <c r="I64" s="40">
        <f t="shared" si="0"/>
        <v>0.29354000000000002</v>
      </c>
    </row>
    <row r="65" spans="2:11" x14ac:dyDescent="0.25">
      <c r="D65" s="50">
        <v>2020</v>
      </c>
      <c r="E65" s="50">
        <v>2020</v>
      </c>
      <c r="F65" s="16">
        <f>F30</f>
        <v>0.13356000000000001</v>
      </c>
      <c r="G65" s="40">
        <f>H22</f>
        <v>0.123</v>
      </c>
      <c r="H65" s="40">
        <f t="shared" si="2"/>
        <v>6.8559999999999996E-2</v>
      </c>
      <c r="I65" s="40">
        <f t="shared" si="0"/>
        <v>0.32512000000000002</v>
      </c>
    </row>
    <row r="66" spans="2:11" x14ac:dyDescent="0.25">
      <c r="D66" s="47" t="s">
        <v>156</v>
      </c>
      <c r="E66" s="47" t="s">
        <v>156</v>
      </c>
      <c r="F66" s="16">
        <f>F30</f>
        <v>0.13356000000000001</v>
      </c>
      <c r="G66" s="40">
        <f>H22</f>
        <v>0.123</v>
      </c>
      <c r="H66" s="40">
        <f>J26</f>
        <v>6.9430000000000006E-2</v>
      </c>
      <c r="I66" s="40">
        <f t="shared" ref="I66" si="3">F66+G66+H66</f>
        <v>0.32599</v>
      </c>
    </row>
    <row r="67" spans="2:11" x14ac:dyDescent="0.25">
      <c r="D67" s="47" t="s">
        <v>154</v>
      </c>
      <c r="E67" s="47" t="s">
        <v>154</v>
      </c>
      <c r="F67" s="16">
        <v>0.13356000000000001</v>
      </c>
      <c r="G67" s="16">
        <v>0</v>
      </c>
      <c r="H67" s="40">
        <f t="shared" ref="H67:H74" si="4">J26</f>
        <v>6.9430000000000006E-2</v>
      </c>
      <c r="I67" s="40">
        <f t="shared" si="0"/>
        <v>0.20299</v>
      </c>
      <c r="J67"/>
    </row>
    <row r="68" spans="2:11" x14ac:dyDescent="0.25">
      <c r="B68"/>
      <c r="C68"/>
      <c r="D68" s="51" t="s">
        <v>153</v>
      </c>
      <c r="E68" s="51" t="s">
        <v>153</v>
      </c>
      <c r="F68" s="16">
        <v>0.13356000000000001</v>
      </c>
      <c r="G68" s="16">
        <v>0</v>
      </c>
      <c r="H68" s="40">
        <f t="shared" si="4"/>
        <v>9.2889005199999999E-2</v>
      </c>
      <c r="I68" s="40">
        <f t="shared" si="0"/>
        <v>0.2264490052</v>
      </c>
      <c r="K68"/>
    </row>
    <row r="69" spans="2:11" x14ac:dyDescent="0.25">
      <c r="D69" s="47" t="s">
        <v>155</v>
      </c>
      <c r="E69" s="47" t="s">
        <v>155</v>
      </c>
      <c r="F69" s="16">
        <v>0.13356000000000001</v>
      </c>
      <c r="G69" s="16">
        <v>0</v>
      </c>
      <c r="H69" s="40">
        <f t="shared" si="4"/>
        <v>0.1163478184</v>
      </c>
      <c r="I69" s="40">
        <f t="shared" si="0"/>
        <v>0.24990781840000001</v>
      </c>
    </row>
    <row r="70" spans="2:11" x14ac:dyDescent="0.25">
      <c r="D70" s="51" t="s">
        <v>157</v>
      </c>
      <c r="E70" s="51" t="s">
        <v>157</v>
      </c>
      <c r="F70" s="16">
        <v>0.13356000000000001</v>
      </c>
      <c r="G70" s="16">
        <v>0</v>
      </c>
      <c r="H70" s="40">
        <f t="shared" si="4"/>
        <v>0.13980372900000002</v>
      </c>
      <c r="I70" s="40">
        <f t="shared" si="0"/>
        <v>0.27336372900000006</v>
      </c>
    </row>
    <row r="71" spans="2:11" x14ac:dyDescent="0.25">
      <c r="D71" s="51" t="s">
        <v>159</v>
      </c>
      <c r="E71" s="51" t="s">
        <v>159</v>
      </c>
      <c r="F71" s="16">
        <v>0.13356000000000001</v>
      </c>
      <c r="G71" s="16">
        <v>0</v>
      </c>
      <c r="H71" s="40">
        <f t="shared" si="4"/>
        <v>0.16325963960000001</v>
      </c>
      <c r="I71" s="40">
        <f t="shared" ref="I71" si="5">F71+G71+H71</f>
        <v>0.29681963960000002</v>
      </c>
      <c r="J71" s="59"/>
    </row>
    <row r="72" spans="2:11" x14ac:dyDescent="0.25">
      <c r="D72" s="51" t="s">
        <v>149</v>
      </c>
      <c r="E72" s="51" t="s">
        <v>149</v>
      </c>
      <c r="F72" s="16">
        <v>0.13356000000000001</v>
      </c>
      <c r="G72" s="16">
        <v>0</v>
      </c>
      <c r="H72" s="40">
        <f t="shared" si="4"/>
        <v>0.19844000000000001</v>
      </c>
      <c r="I72" s="40">
        <f t="shared" ref="I72" si="6">F72+G72+H72</f>
        <v>0.33200000000000002</v>
      </c>
      <c r="J72" s="59"/>
    </row>
    <row r="73" spans="2:11" x14ac:dyDescent="0.25">
      <c r="D73" s="51" t="s">
        <v>150</v>
      </c>
      <c r="E73" s="51" t="s">
        <v>150</v>
      </c>
      <c r="F73" s="16">
        <v>0.13356000000000001</v>
      </c>
      <c r="G73" s="16">
        <v>0</v>
      </c>
      <c r="H73" s="40">
        <f t="shared" si="4"/>
        <v>0.21603761539999999</v>
      </c>
      <c r="I73" s="40">
        <f t="shared" ref="I73" si="7">F73+G73+H73</f>
        <v>0.34959761540000001</v>
      </c>
      <c r="J73" s="5"/>
      <c r="K73" s="5"/>
    </row>
    <row r="74" spans="2:11" x14ac:dyDescent="0.25">
      <c r="D74" s="47" t="s">
        <v>158</v>
      </c>
      <c r="E74" s="47" t="s">
        <v>158</v>
      </c>
      <c r="F74" s="16">
        <v>0.13356000000000001</v>
      </c>
      <c r="G74" s="16">
        <v>0</v>
      </c>
      <c r="H74" s="40">
        <f t="shared" si="4"/>
        <v>0.2351106</v>
      </c>
      <c r="I74" s="40">
        <f t="shared" ref="I74" si="8">F74+G74+H74</f>
        <v>0.36867060000000001</v>
      </c>
      <c r="J74" s="5"/>
      <c r="K74" s="5"/>
    </row>
    <row r="75" spans="2:11" x14ac:dyDescent="0.25">
      <c r="D75" s="47">
        <v>45658</v>
      </c>
      <c r="E75" s="47">
        <v>45658</v>
      </c>
      <c r="F75" s="16">
        <v>0.13356000000000001</v>
      </c>
      <c r="G75" s="16">
        <v>0</v>
      </c>
      <c r="H75" s="40">
        <f t="shared" ref="H75" si="9">J34</f>
        <v>0.19562072699999999</v>
      </c>
      <c r="I75" s="40">
        <f>F75+G75+H75</f>
        <v>0.32918072700000001</v>
      </c>
      <c r="J75" s="5"/>
      <c r="K75" s="5"/>
    </row>
    <row r="76" spans="2:11" x14ac:dyDescent="0.25">
      <c r="D76" s="47">
        <v>46023</v>
      </c>
      <c r="E76" s="47">
        <v>46023</v>
      </c>
      <c r="F76" s="16">
        <v>0.13356000000000001</v>
      </c>
      <c r="G76" s="16">
        <v>0</v>
      </c>
      <c r="H76" s="40">
        <f>J35</f>
        <v>0.20329955529999999</v>
      </c>
      <c r="I76" s="40">
        <f>F76+G76+H76</f>
        <v>0.3368595553</v>
      </c>
      <c r="J76" s="5"/>
      <c r="K76" s="5"/>
    </row>
    <row r="77" spans="2:11" x14ac:dyDescent="0.25">
      <c r="D77" s="5"/>
      <c r="E77" s="5"/>
      <c r="F77" s="5"/>
      <c r="G77" s="5"/>
      <c r="H77" s="5"/>
      <c r="I77" s="5"/>
      <c r="J77" s="5"/>
      <c r="K77" s="5"/>
    </row>
    <row r="78" spans="2:11" ht="24" customHeight="1" x14ac:dyDescent="0.35">
      <c r="H78" s="61" t="s">
        <v>106</v>
      </c>
      <c r="I78" s="40">
        <f>(I76*510)/1000</f>
        <v>0.17179837320300001</v>
      </c>
    </row>
  </sheetData>
  <mergeCells count="13">
    <mergeCell ref="B25:C25"/>
    <mergeCell ref="B10:F10"/>
    <mergeCell ref="B11:F11"/>
    <mergeCell ref="B12:F12"/>
    <mergeCell ref="B13:F13"/>
    <mergeCell ref="B14:F14"/>
    <mergeCell ref="B19:C19"/>
    <mergeCell ref="B21:C21"/>
    <mergeCell ref="B22:C22"/>
    <mergeCell ref="B23:C23"/>
    <mergeCell ref="B24:C24"/>
    <mergeCell ref="B20:C20"/>
    <mergeCell ref="B16:D16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9"/>
  <sheetViews>
    <sheetView topLeftCell="A40" zoomScale="70" zoomScaleNormal="70" workbookViewId="0">
      <selection activeCell="D63" sqref="D63"/>
    </sheetView>
  </sheetViews>
  <sheetFormatPr defaultRowHeight="15" x14ac:dyDescent="0.25"/>
  <cols>
    <col min="1" max="1" width="14" bestFit="1" customWidth="1"/>
    <col min="4" max="4" width="32.42578125" customWidth="1"/>
    <col min="5" max="5" width="19.140625" bestFit="1" customWidth="1"/>
    <col min="6" max="6" width="10.42578125" bestFit="1" customWidth="1"/>
    <col min="7" max="7" width="10.42578125" customWidth="1"/>
    <col min="8" max="8" width="18.28515625" bestFit="1" customWidth="1"/>
    <col min="9" max="9" width="14.140625" customWidth="1"/>
    <col min="10" max="10" width="12.85546875" customWidth="1"/>
    <col min="11" max="11" width="13.28515625" customWidth="1"/>
  </cols>
  <sheetData>
    <row r="1" spans="1:11" x14ac:dyDescent="0.25">
      <c r="A1" s="36">
        <v>40</v>
      </c>
      <c r="B1" s="2"/>
      <c r="C1" s="2"/>
      <c r="D1" s="2"/>
    </row>
    <row r="2" spans="1:11" x14ac:dyDescent="0.25">
      <c r="A2" s="36" t="s">
        <v>0</v>
      </c>
      <c r="B2" s="37" t="s">
        <v>107</v>
      </c>
      <c r="C2" s="2"/>
      <c r="D2" s="2"/>
      <c r="E2" s="2"/>
    </row>
    <row r="3" spans="1:11" x14ac:dyDescent="0.25">
      <c r="A3" s="36" t="s">
        <v>2</v>
      </c>
      <c r="B3" s="37" t="s">
        <v>160</v>
      </c>
      <c r="C3" s="2"/>
      <c r="D3" s="2"/>
      <c r="E3" s="2"/>
    </row>
    <row r="4" spans="1:11" x14ac:dyDescent="0.25">
      <c r="A4" s="36" t="s">
        <v>3</v>
      </c>
      <c r="B4" s="37" t="s">
        <v>4</v>
      </c>
      <c r="C4" s="2"/>
      <c r="D4" s="2"/>
      <c r="E4" s="2"/>
    </row>
    <row r="5" spans="1:11" x14ac:dyDescent="0.25">
      <c r="A5" s="36" t="s">
        <v>5</v>
      </c>
      <c r="B5" s="37" t="s">
        <v>87</v>
      </c>
      <c r="C5" s="2"/>
      <c r="D5" s="2"/>
      <c r="E5" s="2"/>
    </row>
    <row r="6" spans="1:11" x14ac:dyDescent="0.25">
      <c r="A6" s="36" t="s">
        <v>7</v>
      </c>
      <c r="B6" s="37"/>
      <c r="C6" s="2"/>
      <c r="D6" s="2"/>
      <c r="E6" s="2"/>
    </row>
    <row r="7" spans="1:11" x14ac:dyDescent="0.25">
      <c r="A7" s="36" t="s">
        <v>8</v>
      </c>
      <c r="B7" s="37">
        <v>6</v>
      </c>
      <c r="C7" s="2"/>
      <c r="D7" s="2"/>
      <c r="E7" s="2"/>
    </row>
    <row r="8" spans="1:11" x14ac:dyDescent="0.25">
      <c r="B8" s="2"/>
      <c r="C8" s="2"/>
      <c r="D8" s="2"/>
      <c r="E8" s="2"/>
      <c r="F8" s="2"/>
      <c r="G8" s="2"/>
      <c r="H8" s="2"/>
      <c r="I8" s="2"/>
      <c r="J8" s="2"/>
    </row>
    <row r="9" spans="1:11" ht="15.75" thickBot="1" x14ac:dyDescent="0.3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s="2" customFormat="1" x14ac:dyDescent="0.25">
      <c r="B10" s="82" t="s">
        <v>9</v>
      </c>
      <c r="C10" s="83"/>
      <c r="D10" s="83"/>
      <c r="E10" s="83"/>
      <c r="F10" s="84"/>
    </row>
    <row r="11" spans="1:11" s="2" customFormat="1" x14ac:dyDescent="0.25">
      <c r="B11" s="85" t="s">
        <v>10</v>
      </c>
      <c r="C11" s="86"/>
      <c r="D11" s="86"/>
      <c r="E11" s="86"/>
      <c r="F11" s="87"/>
    </row>
    <row r="12" spans="1:11" s="2" customFormat="1" x14ac:dyDescent="0.25">
      <c r="B12" s="85" t="s">
        <v>11</v>
      </c>
      <c r="C12" s="86"/>
      <c r="D12" s="86"/>
      <c r="E12" s="86"/>
      <c r="F12" s="87"/>
    </row>
    <row r="13" spans="1:11" s="2" customFormat="1" x14ac:dyDescent="0.25">
      <c r="B13" s="85" t="s">
        <v>12</v>
      </c>
      <c r="C13" s="86"/>
      <c r="D13" s="86"/>
      <c r="E13" s="86"/>
      <c r="F13" s="87"/>
    </row>
    <row r="14" spans="1:11" s="2" customFormat="1" ht="15.75" thickBot="1" x14ac:dyDescent="0.3">
      <c r="B14" s="88" t="s">
        <v>13</v>
      </c>
      <c r="C14" s="89"/>
      <c r="D14" s="89"/>
      <c r="E14" s="89"/>
      <c r="F14" s="90"/>
    </row>
    <row r="15" spans="1:11" s="2" customFormat="1" ht="15.75" thickBot="1" x14ac:dyDescent="0.3"/>
    <row r="16" spans="1:11" s="2" customFormat="1" ht="15.75" thickBot="1" x14ac:dyDescent="0.3">
      <c r="B16" s="79" t="s">
        <v>14</v>
      </c>
      <c r="C16" s="80"/>
      <c r="D16" s="81"/>
      <c r="E16" s="11"/>
    </row>
    <row r="17" spans="2:10" s="2" customFormat="1" x14ac:dyDescent="0.25">
      <c r="B17" s="11"/>
      <c r="C17" s="11"/>
      <c r="D17" s="11"/>
      <c r="E17" s="11"/>
    </row>
    <row r="18" spans="2:10" s="2" customFormat="1" ht="15.75" thickBot="1" x14ac:dyDescent="0.3">
      <c r="B18" s="11"/>
      <c r="C18" s="11"/>
      <c r="D18" s="11"/>
      <c r="E18" s="11"/>
    </row>
    <row r="19" spans="2:10" s="5" customFormat="1" ht="12" x14ac:dyDescent="0.2">
      <c r="B19" s="92" t="s">
        <v>108</v>
      </c>
      <c r="C19" s="93"/>
      <c r="D19" s="27"/>
      <c r="E19" s="27"/>
      <c r="F19" s="27"/>
      <c r="G19" s="27"/>
      <c r="H19" s="27"/>
      <c r="I19" s="35"/>
    </row>
    <row r="20" spans="2:10" s="5" customFormat="1" ht="12" x14ac:dyDescent="0.2">
      <c r="B20" s="95" t="s">
        <v>15</v>
      </c>
      <c r="C20" s="91"/>
      <c r="D20" s="56" t="s">
        <v>16</v>
      </c>
      <c r="E20" s="56" t="s">
        <v>15</v>
      </c>
      <c r="F20" s="56" t="s">
        <v>89</v>
      </c>
      <c r="G20" s="56"/>
      <c r="H20" s="56" t="s">
        <v>15</v>
      </c>
      <c r="I20" s="17" t="s">
        <v>91</v>
      </c>
    </row>
    <row r="21" spans="2:10" s="4" customFormat="1" ht="12" x14ac:dyDescent="0.2">
      <c r="B21" s="76" t="s">
        <v>109</v>
      </c>
      <c r="C21" s="76"/>
      <c r="D21" s="15">
        <v>19</v>
      </c>
      <c r="E21" s="51" t="s">
        <v>110</v>
      </c>
      <c r="F21" s="16">
        <v>7.4799999999999997E-3</v>
      </c>
      <c r="G21" s="16"/>
      <c r="H21" s="51" t="s">
        <v>96</v>
      </c>
      <c r="I21" s="51">
        <v>1.477E-2</v>
      </c>
      <c r="J21" s="5"/>
    </row>
    <row r="22" spans="2:10" s="4" customFormat="1" ht="12" x14ac:dyDescent="0.2">
      <c r="B22" s="76" t="s">
        <v>21</v>
      </c>
      <c r="C22" s="76"/>
      <c r="D22" s="15">
        <v>21</v>
      </c>
      <c r="E22" s="51" t="s">
        <v>98</v>
      </c>
      <c r="F22" s="16">
        <v>7.6499999999999997E-3</v>
      </c>
      <c r="G22" s="16"/>
      <c r="H22" s="51" t="s">
        <v>97</v>
      </c>
      <c r="I22" s="51">
        <v>1.9359999999999999E-2</v>
      </c>
      <c r="J22" s="5"/>
    </row>
    <row r="23" spans="2:10" s="4" customFormat="1" ht="12" x14ac:dyDescent="0.2">
      <c r="B23" s="76" t="s">
        <v>25</v>
      </c>
      <c r="C23" s="76"/>
      <c r="D23" s="15">
        <v>20</v>
      </c>
      <c r="E23" s="51" t="s">
        <v>111</v>
      </c>
      <c r="F23" s="16">
        <v>7.8100000000000001E-3</v>
      </c>
      <c r="G23" s="16"/>
      <c r="H23" s="51" t="s">
        <v>54</v>
      </c>
      <c r="I23" s="51">
        <f>19.88/1000</f>
        <v>1.9879999999999998E-2</v>
      </c>
      <c r="J23" s="5"/>
    </row>
    <row r="24" spans="2:10" s="4" customFormat="1" ht="12" x14ac:dyDescent="0.2">
      <c r="B24" s="76" t="s">
        <v>29</v>
      </c>
      <c r="C24" s="76"/>
      <c r="D24" s="15">
        <v>21</v>
      </c>
      <c r="E24" s="51" t="s">
        <v>112</v>
      </c>
      <c r="F24" s="16">
        <v>7.9900000000000006E-3</v>
      </c>
      <c r="G24" s="16"/>
      <c r="H24" s="51" t="s">
        <v>37</v>
      </c>
      <c r="I24" s="51">
        <f>36.98/1000</f>
        <v>3.6979999999999999E-2</v>
      </c>
      <c r="J24" s="5"/>
    </row>
    <row r="25" spans="2:10" s="4" customFormat="1" ht="12" x14ac:dyDescent="0.2">
      <c r="B25" s="76" t="s">
        <v>32</v>
      </c>
      <c r="C25" s="76"/>
      <c r="D25" s="15">
        <v>23</v>
      </c>
      <c r="E25" s="51"/>
      <c r="F25" s="16"/>
      <c r="G25" s="16"/>
      <c r="H25" s="52">
        <v>2020</v>
      </c>
      <c r="I25" s="51">
        <f>68.56/1000</f>
        <v>6.8559999999999996E-2</v>
      </c>
      <c r="J25" s="5"/>
    </row>
    <row r="26" spans="2:10" s="4" customFormat="1" ht="12" x14ac:dyDescent="0.2">
      <c r="B26" s="51"/>
      <c r="C26" s="51"/>
      <c r="D26" s="51"/>
      <c r="E26" s="51"/>
      <c r="F26" s="16"/>
      <c r="G26" s="16"/>
      <c r="H26" s="47" t="s">
        <v>135</v>
      </c>
      <c r="I26" s="51">
        <v>6.9430000000000006E-2</v>
      </c>
      <c r="J26" s="5"/>
    </row>
    <row r="27" spans="2:10" s="4" customFormat="1" ht="12" x14ac:dyDescent="0.2">
      <c r="B27" s="51"/>
      <c r="C27" s="51"/>
      <c r="D27" s="51"/>
      <c r="E27" s="51"/>
      <c r="F27" s="16"/>
      <c r="G27" s="16"/>
      <c r="H27" s="47" t="s">
        <v>133</v>
      </c>
      <c r="I27" s="51">
        <v>9.2889005200000013E-2</v>
      </c>
      <c r="J27" s="5"/>
    </row>
    <row r="28" spans="2:10" s="4" customFormat="1" ht="12" x14ac:dyDescent="0.2">
      <c r="B28" s="51"/>
      <c r="C28" s="51"/>
      <c r="D28" s="51"/>
      <c r="E28" s="51"/>
      <c r="F28" s="16"/>
      <c r="G28" s="16"/>
      <c r="H28" s="47" t="s">
        <v>136</v>
      </c>
      <c r="I28" s="51">
        <v>0.1163478184</v>
      </c>
      <c r="J28" s="5"/>
    </row>
    <row r="29" spans="2:10" s="4" customFormat="1" ht="12" x14ac:dyDescent="0.2">
      <c r="B29" s="51"/>
      <c r="C29" s="51"/>
      <c r="D29" s="51"/>
      <c r="E29" s="51"/>
      <c r="F29" s="16"/>
      <c r="G29" s="16"/>
      <c r="H29" s="51" t="s">
        <v>141</v>
      </c>
      <c r="I29" s="51">
        <v>0.13980372900000002</v>
      </c>
      <c r="J29" s="5"/>
    </row>
    <row r="30" spans="2:10" s="4" customFormat="1" ht="12" x14ac:dyDescent="0.2">
      <c r="B30" s="51"/>
      <c r="C30" s="51"/>
      <c r="D30" s="51"/>
      <c r="E30" s="51"/>
      <c r="F30" s="16"/>
      <c r="G30" s="16"/>
      <c r="H30" s="51" t="s">
        <v>146</v>
      </c>
      <c r="I30" s="51">
        <v>0.16325963960000001</v>
      </c>
      <c r="J30" s="5"/>
    </row>
    <row r="31" spans="2:10" s="4" customFormat="1" ht="12" x14ac:dyDescent="0.2">
      <c r="B31" s="51"/>
      <c r="C31" s="51"/>
      <c r="D31" s="51"/>
      <c r="E31" s="51"/>
      <c r="F31" s="16"/>
      <c r="G31" s="16"/>
      <c r="H31" s="51" t="s">
        <v>149</v>
      </c>
      <c r="I31" s="18">
        <v>0.19844000000000001</v>
      </c>
      <c r="J31" s="5"/>
    </row>
    <row r="32" spans="2:10" s="4" customFormat="1" ht="12" x14ac:dyDescent="0.2">
      <c r="B32" s="51"/>
      <c r="C32" s="51"/>
      <c r="D32" s="51"/>
      <c r="E32" s="51"/>
      <c r="F32" s="16"/>
      <c r="G32" s="16"/>
      <c r="H32" s="51" t="s">
        <v>150</v>
      </c>
      <c r="I32" s="18">
        <v>0.21603761539999999</v>
      </c>
      <c r="J32" s="5"/>
    </row>
    <row r="33" spans="2:10" s="4" customFormat="1" ht="12" x14ac:dyDescent="0.2">
      <c r="B33" s="51"/>
      <c r="C33" s="51"/>
      <c r="D33" s="51"/>
      <c r="E33" s="51"/>
      <c r="F33" s="16"/>
      <c r="G33" s="16"/>
      <c r="H33" s="47" t="s">
        <v>151</v>
      </c>
      <c r="I33" s="18">
        <v>0.2351106</v>
      </c>
      <c r="J33" s="5"/>
    </row>
    <row r="34" spans="2:10" s="4" customFormat="1" ht="12" x14ac:dyDescent="0.2">
      <c r="B34" s="51"/>
      <c r="C34" s="51"/>
      <c r="D34" s="51"/>
      <c r="E34" s="51"/>
      <c r="F34" s="16"/>
      <c r="G34" s="16"/>
      <c r="H34" s="47">
        <v>45658</v>
      </c>
      <c r="I34" s="18">
        <v>0.19562072699999999</v>
      </c>
      <c r="J34" s="5"/>
    </row>
    <row r="35" spans="2:10" s="4" customFormat="1" ht="12" x14ac:dyDescent="0.2">
      <c r="B35" s="51"/>
      <c r="C35" s="51"/>
      <c r="D35" s="51"/>
      <c r="E35" s="51"/>
      <c r="F35" s="16"/>
      <c r="G35" s="16"/>
      <c r="H35" s="47">
        <v>46023</v>
      </c>
      <c r="I35" s="18">
        <v>0.20329955529999999</v>
      </c>
      <c r="J35" s="5"/>
    </row>
    <row r="36" spans="2:10" s="4" customFormat="1" x14ac:dyDescent="0.25">
      <c r="B36" s="38"/>
      <c r="C36" s="38"/>
      <c r="D36" s="38"/>
      <c r="E36" s="38"/>
      <c r="F36" s="39"/>
      <c r="G36" s="38"/>
      <c r="H36" s="38"/>
      <c r="I36" s="38"/>
      <c r="J36" s="5"/>
    </row>
    <row r="37" spans="2:10" s="4" customFormat="1" x14ac:dyDescent="0.25">
      <c r="B37" s="38"/>
      <c r="C37" s="38"/>
      <c r="D37" s="38"/>
      <c r="E37" s="38"/>
      <c r="F37" s="39"/>
      <c r="G37" s="38"/>
      <c r="H37" s="38"/>
      <c r="I37" s="38"/>
      <c r="J37" s="5"/>
    </row>
    <row r="38" spans="2:10" s="4" customFormat="1" x14ac:dyDescent="0.25">
      <c r="B38" s="38"/>
      <c r="C38" s="38"/>
      <c r="D38" s="38"/>
      <c r="E38" s="38"/>
      <c r="F38" s="39"/>
      <c r="G38" s="38"/>
      <c r="H38" s="38"/>
      <c r="I38" s="38"/>
      <c r="J38" s="5"/>
    </row>
    <row r="39" spans="2:10" s="4" customFormat="1" x14ac:dyDescent="0.25">
      <c r="B39" s="38"/>
      <c r="C39" s="38" t="s">
        <v>40</v>
      </c>
      <c r="D39" s="38"/>
      <c r="E39" s="38"/>
      <c r="F39" s="39"/>
      <c r="G39" s="38"/>
      <c r="H39" s="38"/>
      <c r="I39" s="38"/>
      <c r="J39" s="5"/>
    </row>
    <row r="40" spans="2:10" s="4" customFormat="1" x14ac:dyDescent="0.25">
      <c r="B40" s="38"/>
      <c r="C40" s="38" t="s">
        <v>41</v>
      </c>
      <c r="D40" s="38"/>
      <c r="E40" s="38"/>
      <c r="F40" s="39"/>
      <c r="G40" s="38"/>
      <c r="H40" s="38"/>
      <c r="I40" s="38"/>
      <c r="J40" s="5"/>
    </row>
    <row r="41" spans="2:10" s="4" customFormat="1" x14ac:dyDescent="0.25">
      <c r="B41" s="38"/>
      <c r="C41" s="38" t="s">
        <v>42</v>
      </c>
      <c r="D41" s="38"/>
      <c r="E41" s="38"/>
      <c r="F41" s="39"/>
      <c r="G41" s="38"/>
      <c r="H41" s="38"/>
      <c r="I41" s="38"/>
      <c r="J41" s="5"/>
    </row>
    <row r="42" spans="2:10" s="4" customFormat="1" x14ac:dyDescent="0.25">
      <c r="B42" s="38"/>
      <c r="C42" s="38"/>
      <c r="D42" s="38"/>
      <c r="E42" s="38"/>
      <c r="F42" s="39"/>
      <c r="G42" s="38"/>
      <c r="H42" s="38"/>
      <c r="I42" s="38"/>
      <c r="J42" s="5"/>
    </row>
    <row r="43" spans="2:10" s="4" customFormat="1" ht="12" x14ac:dyDescent="0.2">
      <c r="B43" s="5"/>
      <c r="C43" s="5"/>
      <c r="D43" s="5"/>
      <c r="E43" s="5"/>
      <c r="F43" s="8"/>
      <c r="G43" s="8"/>
      <c r="H43" s="5"/>
      <c r="I43" s="5"/>
      <c r="J43" s="5"/>
    </row>
    <row r="44" spans="2:10" s="4" customFormat="1" ht="12" x14ac:dyDescent="0.2">
      <c r="B44" s="5"/>
      <c r="C44" s="5"/>
      <c r="D44" s="5"/>
      <c r="E44" s="5"/>
      <c r="F44" s="8"/>
      <c r="G44" s="8"/>
      <c r="H44" s="5"/>
      <c r="I44" s="5"/>
      <c r="J44" s="5"/>
    </row>
    <row r="45" spans="2:10" s="4" customFormat="1" ht="12" x14ac:dyDescent="0.2">
      <c r="B45" s="5"/>
      <c r="C45" s="5"/>
      <c r="D45" s="5"/>
      <c r="E45" s="5"/>
      <c r="F45" s="8"/>
      <c r="G45" s="8"/>
      <c r="H45" s="5"/>
      <c r="I45" s="5"/>
      <c r="J45" s="5"/>
    </row>
    <row r="46" spans="2:10" s="4" customFormat="1" ht="12" x14ac:dyDescent="0.2">
      <c r="B46" s="5"/>
      <c r="C46" s="5"/>
      <c r="D46" s="5"/>
      <c r="E46" s="5"/>
      <c r="F46" s="8"/>
      <c r="G46" s="8"/>
      <c r="H46" s="5"/>
      <c r="I46" s="5"/>
      <c r="J46" s="5"/>
    </row>
    <row r="47" spans="2:10" s="4" customFormat="1" ht="12" x14ac:dyDescent="0.2">
      <c r="B47" s="5"/>
      <c r="C47" s="5"/>
      <c r="D47" s="5"/>
      <c r="E47" s="5"/>
      <c r="F47" s="8"/>
      <c r="G47" s="8"/>
      <c r="H47" s="5"/>
      <c r="I47" s="5"/>
      <c r="J47" s="5"/>
    </row>
    <row r="48" spans="2:10" s="4" customFormat="1" ht="12" x14ac:dyDescent="0.2">
      <c r="B48" s="5"/>
      <c r="C48" s="5"/>
      <c r="D48" s="5"/>
      <c r="E48" s="5"/>
      <c r="F48" s="8"/>
      <c r="G48" s="8"/>
      <c r="H48" s="5"/>
      <c r="I48" s="5"/>
      <c r="J48" s="5"/>
    </row>
    <row r="49" spans="2:10" s="4" customFormat="1" ht="12.75" thickBot="1" x14ac:dyDescent="0.25">
      <c r="B49" s="5"/>
      <c r="C49" s="5"/>
      <c r="D49" s="5"/>
      <c r="H49" s="5"/>
      <c r="I49" s="5"/>
      <c r="J49" s="5"/>
    </row>
    <row r="50" spans="2:10" ht="75" x14ac:dyDescent="0.25">
      <c r="D50" s="23"/>
      <c r="E50" s="49"/>
      <c r="F50" s="24" t="s">
        <v>43</v>
      </c>
      <c r="G50" s="24"/>
      <c r="H50" s="24" t="s">
        <v>45</v>
      </c>
      <c r="I50" s="25" t="s">
        <v>46</v>
      </c>
    </row>
    <row r="51" spans="2:10" x14ac:dyDescent="0.25">
      <c r="D51" s="47">
        <v>36892</v>
      </c>
      <c r="E51" s="51" t="s">
        <v>113</v>
      </c>
      <c r="F51" s="16">
        <v>7.4799999999999997E-3</v>
      </c>
      <c r="G51" s="16"/>
      <c r="H51" s="16">
        <v>0</v>
      </c>
      <c r="I51" s="16">
        <v>7.4799999999999997E-3</v>
      </c>
    </row>
    <row r="52" spans="2:10" x14ac:dyDescent="0.25">
      <c r="D52" s="47">
        <v>38718</v>
      </c>
      <c r="E52" s="51" t="s">
        <v>98</v>
      </c>
      <c r="F52" s="16">
        <v>7.6499999999999997E-3</v>
      </c>
      <c r="G52" s="16"/>
      <c r="H52" s="16">
        <v>0</v>
      </c>
      <c r="I52" s="16">
        <v>7.6499999999999997E-3</v>
      </c>
    </row>
    <row r="53" spans="2:10" x14ac:dyDescent="0.25">
      <c r="D53" s="47">
        <v>39083</v>
      </c>
      <c r="E53" s="51" t="s">
        <v>111</v>
      </c>
      <c r="F53" s="16">
        <v>7.8100000000000001E-3</v>
      </c>
      <c r="G53" s="16"/>
      <c r="H53" s="16">
        <v>0</v>
      </c>
      <c r="I53" s="16">
        <v>7.8100000000000001E-3</v>
      </c>
    </row>
    <row r="54" spans="2:10" x14ac:dyDescent="0.25">
      <c r="D54" s="47">
        <v>40909</v>
      </c>
      <c r="E54" s="51" t="s">
        <v>114</v>
      </c>
      <c r="F54" s="16">
        <v>7.9900000000000006E-3</v>
      </c>
      <c r="G54" s="16"/>
      <c r="H54" s="16">
        <v>0</v>
      </c>
      <c r="I54" s="16">
        <v>7.9900000000000006E-3</v>
      </c>
    </row>
    <row r="55" spans="2:10" x14ac:dyDescent="0.25">
      <c r="D55" s="47">
        <v>42005</v>
      </c>
      <c r="E55" s="51" t="s">
        <v>20</v>
      </c>
      <c r="F55" s="16">
        <v>7.9900000000000006E-3</v>
      </c>
      <c r="G55" s="16"/>
      <c r="H55" s="16">
        <v>1.477E-2</v>
      </c>
      <c r="I55" s="16">
        <f>SUM(F55,H55)</f>
        <v>2.2760000000000002E-2</v>
      </c>
    </row>
    <row r="56" spans="2:10" x14ac:dyDescent="0.25">
      <c r="D56" s="47">
        <v>42370</v>
      </c>
      <c r="E56" s="51" t="s">
        <v>105</v>
      </c>
      <c r="F56" s="16">
        <v>7.9900000000000006E-3</v>
      </c>
      <c r="G56" s="16"/>
      <c r="H56" s="16">
        <v>1.9359999999999999E-2</v>
      </c>
      <c r="I56" s="16">
        <f t="shared" ref="I56:I60" si="0">SUM(F56,H56)</f>
        <v>2.7349999999999999E-2</v>
      </c>
    </row>
    <row r="57" spans="2:10" x14ac:dyDescent="0.25">
      <c r="D57" s="47">
        <v>42736</v>
      </c>
      <c r="E57" s="47" t="s">
        <v>54</v>
      </c>
      <c r="F57" s="16">
        <f>F24</f>
        <v>7.9900000000000006E-3</v>
      </c>
      <c r="G57" s="16"/>
      <c r="H57" s="16">
        <f t="shared" ref="H57:H62" si="1">I23</f>
        <v>1.9879999999999998E-2</v>
      </c>
      <c r="I57" s="16">
        <f t="shared" si="0"/>
        <v>2.7869999999999999E-2</v>
      </c>
    </row>
    <row r="58" spans="2:10" x14ac:dyDescent="0.25">
      <c r="D58" s="47" t="s">
        <v>37</v>
      </c>
      <c r="E58" s="47" t="s">
        <v>37</v>
      </c>
      <c r="F58" s="16">
        <f>F24</f>
        <v>7.9900000000000006E-3</v>
      </c>
      <c r="G58" s="16"/>
      <c r="H58" s="16">
        <f t="shared" si="1"/>
        <v>3.6979999999999999E-2</v>
      </c>
      <c r="I58" s="16">
        <f t="shared" si="0"/>
        <v>4.4969999999999996E-2</v>
      </c>
    </row>
    <row r="59" spans="2:10" x14ac:dyDescent="0.25">
      <c r="D59" s="50">
        <v>2020</v>
      </c>
      <c r="E59" s="50">
        <v>2020</v>
      </c>
      <c r="F59" s="16">
        <f>F24</f>
        <v>7.9900000000000006E-3</v>
      </c>
      <c r="G59" s="16"/>
      <c r="H59" s="16">
        <f t="shared" si="1"/>
        <v>6.8559999999999996E-2</v>
      </c>
      <c r="I59" s="16">
        <f t="shared" si="0"/>
        <v>7.6549999999999993E-2</v>
      </c>
    </row>
    <row r="60" spans="2:10" x14ac:dyDescent="0.25">
      <c r="D60" s="47" t="s">
        <v>143</v>
      </c>
      <c r="E60" s="47" t="s">
        <v>143</v>
      </c>
      <c r="F60" s="16">
        <f>F24</f>
        <v>7.9900000000000006E-3</v>
      </c>
      <c r="G60" s="16"/>
      <c r="H60" s="16">
        <f t="shared" si="1"/>
        <v>6.9430000000000006E-2</v>
      </c>
      <c r="I60" s="16">
        <f t="shared" si="0"/>
        <v>7.7420000000000003E-2</v>
      </c>
    </row>
    <row r="61" spans="2:10" x14ac:dyDescent="0.25">
      <c r="D61" s="47" t="s">
        <v>133</v>
      </c>
      <c r="E61" s="47" t="s">
        <v>133</v>
      </c>
      <c r="F61" s="16">
        <f>F24</f>
        <v>7.9900000000000006E-3</v>
      </c>
      <c r="G61" s="16"/>
      <c r="H61" s="16">
        <f t="shared" si="1"/>
        <v>9.2889005200000013E-2</v>
      </c>
      <c r="I61" s="16">
        <f t="shared" ref="I61" si="2">SUM(F61,H61)</f>
        <v>0.10087900520000001</v>
      </c>
    </row>
    <row r="62" spans="2:10" x14ac:dyDescent="0.25">
      <c r="D62" s="47" t="s">
        <v>136</v>
      </c>
      <c r="E62" s="47" t="s">
        <v>136</v>
      </c>
      <c r="F62" s="16">
        <f>F24</f>
        <v>7.9900000000000006E-3</v>
      </c>
      <c r="G62" s="16"/>
      <c r="H62" s="16">
        <f t="shared" si="1"/>
        <v>0.1163478184</v>
      </c>
      <c r="I62" s="16">
        <f t="shared" ref="I62:I67" si="3">SUM(F62,H62)</f>
        <v>0.12433781839999999</v>
      </c>
    </row>
    <row r="63" spans="2:10" x14ac:dyDescent="0.25">
      <c r="D63" s="51" t="s">
        <v>141</v>
      </c>
      <c r="E63" s="51" t="s">
        <v>141</v>
      </c>
      <c r="F63" s="16">
        <f>F24</f>
        <v>7.9900000000000006E-3</v>
      </c>
      <c r="G63" s="16"/>
      <c r="H63" s="16">
        <f t="shared" ref="H63" si="4">I29</f>
        <v>0.13980372900000002</v>
      </c>
      <c r="I63" s="16">
        <f t="shared" si="3"/>
        <v>0.14779372900000001</v>
      </c>
    </row>
    <row r="64" spans="2:10" x14ac:dyDescent="0.25">
      <c r="D64" s="51" t="s">
        <v>146</v>
      </c>
      <c r="E64" s="51" t="s">
        <v>146</v>
      </c>
      <c r="F64" s="16">
        <f>F24</f>
        <v>7.9900000000000006E-3</v>
      </c>
      <c r="G64" s="16"/>
      <c r="H64" s="16">
        <f t="shared" ref="H64" si="5">I30</f>
        <v>0.16325963960000001</v>
      </c>
      <c r="I64" s="16">
        <f t="shared" si="3"/>
        <v>0.1712496396</v>
      </c>
    </row>
    <row r="65" spans="4:9" x14ac:dyDescent="0.25">
      <c r="D65" s="51" t="s">
        <v>149</v>
      </c>
      <c r="E65" s="51" t="s">
        <v>149</v>
      </c>
      <c r="F65" s="16">
        <f>F24</f>
        <v>7.9900000000000006E-3</v>
      </c>
      <c r="G65" s="16"/>
      <c r="H65" s="16">
        <f>I31</f>
        <v>0.19844000000000001</v>
      </c>
      <c r="I65" s="16">
        <f t="shared" si="3"/>
        <v>0.20643</v>
      </c>
    </row>
    <row r="66" spans="4:9" x14ac:dyDescent="0.25">
      <c r="D66" s="51" t="s">
        <v>150</v>
      </c>
      <c r="E66" s="51" t="s">
        <v>150</v>
      </c>
      <c r="F66" s="16">
        <f>F24</f>
        <v>7.9900000000000006E-3</v>
      </c>
      <c r="G66" s="16"/>
      <c r="H66" s="16">
        <f>I32</f>
        <v>0.21603761539999999</v>
      </c>
      <c r="I66" s="16">
        <f t="shared" si="3"/>
        <v>0.22402761539999999</v>
      </c>
    </row>
    <row r="67" spans="4:9" x14ac:dyDescent="0.25">
      <c r="D67" s="47" t="s">
        <v>151</v>
      </c>
      <c r="E67" s="47" t="s">
        <v>151</v>
      </c>
      <c r="F67" s="16">
        <f>F24</f>
        <v>7.9900000000000006E-3</v>
      </c>
      <c r="G67" s="16"/>
      <c r="H67" s="16">
        <f>I33</f>
        <v>0.2351106</v>
      </c>
      <c r="I67" s="16">
        <f t="shared" si="3"/>
        <v>0.2431006</v>
      </c>
    </row>
    <row r="68" spans="4:9" x14ac:dyDescent="0.25">
      <c r="D68" s="47">
        <v>45658</v>
      </c>
      <c r="E68" s="47">
        <v>45658</v>
      </c>
      <c r="F68" s="16">
        <f>F24</f>
        <v>7.9900000000000006E-3</v>
      </c>
      <c r="G68" s="16"/>
      <c r="H68" s="16">
        <f>I34</f>
        <v>0.19562072699999999</v>
      </c>
      <c r="I68" s="16">
        <f t="shared" ref="I68" si="6">SUM(F68,H68)</f>
        <v>0.20361072699999999</v>
      </c>
    </row>
    <row r="69" spans="4:9" x14ac:dyDescent="0.25">
      <c r="D69" s="47">
        <v>46023</v>
      </c>
      <c r="E69" s="47">
        <v>46023</v>
      </c>
      <c r="F69" s="16">
        <f>F24</f>
        <v>7.9900000000000006E-3</v>
      </c>
      <c r="G69" s="16"/>
      <c r="H69" s="18">
        <v>0.20330000000000001</v>
      </c>
      <c r="I69" s="16">
        <f t="shared" ref="I69" si="7">SUM(F69,H69)</f>
        <v>0.21129000000000001</v>
      </c>
    </row>
  </sheetData>
  <mergeCells count="13">
    <mergeCell ref="B25:C25"/>
    <mergeCell ref="B19:C19"/>
    <mergeCell ref="B20:C20"/>
    <mergeCell ref="B21:C21"/>
    <mergeCell ref="B22:C22"/>
    <mergeCell ref="B23:C23"/>
    <mergeCell ref="B24:C24"/>
    <mergeCell ref="B16:D16"/>
    <mergeCell ref="B10:F10"/>
    <mergeCell ref="B11:F11"/>
    <mergeCell ref="B12:F12"/>
    <mergeCell ref="B13:F13"/>
    <mergeCell ref="B14:F14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Gasolinas</vt:lpstr>
      <vt:lpstr>Gasóleo Rodoviário</vt:lpstr>
      <vt:lpstr>Gasóleos Col. e Marcado</vt:lpstr>
      <vt:lpstr>Gasóleo Aquec.</vt:lpstr>
      <vt:lpstr>GPL Auto</vt:lpstr>
      <vt:lpstr>Propano_Butano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2026-10-19T14:04:40Z</dcterms:modified>
  <cp:category/>
  <cp:contentStatus/>
</cp:coreProperties>
</file>